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ccounts Shared Folder\Call Center\"/>
    </mc:Choice>
  </mc:AlternateContent>
  <xr:revisionPtr revIDLastSave="0" documentId="13_ncr:1_{BC43D8D9-282C-452B-86EF-ED4EE7AC097C}" xr6:coauthVersionLast="36" xr6:coauthVersionMax="47" xr10:uidLastSave="{00000000-0000-0000-0000-000000000000}"/>
  <bookViews>
    <workbookView xWindow="-120" yWindow="-120" windowWidth="20736" windowHeight="11160" firstSheet="28" activeTab="29" xr2:uid="{BC7D8971-39FA-4720-9C55-968274CB6C7A}"/>
  </bookViews>
  <sheets>
    <sheet name="01.06" sheetId="1" r:id="rId1"/>
    <sheet name="02.06" sheetId="2" r:id="rId2"/>
    <sheet name="03.06" sheetId="3" r:id="rId3"/>
    <sheet name="04.06" sheetId="4" r:id="rId4"/>
    <sheet name="05.06" sheetId="5" r:id="rId5"/>
    <sheet name="06.06" sheetId="6" r:id="rId6"/>
    <sheet name="07.06" sheetId="7" r:id="rId7"/>
    <sheet name="08.06" sheetId="8" r:id="rId8"/>
    <sheet name="09.06" sheetId="9" r:id="rId9"/>
    <sheet name="10.06" sheetId="10" r:id="rId10"/>
    <sheet name="11.06" sheetId="11" r:id="rId11"/>
    <sheet name="12.06" sheetId="12" r:id="rId12"/>
    <sheet name="13.06" sheetId="13" r:id="rId13"/>
    <sheet name="14.06" sheetId="14" r:id="rId14"/>
    <sheet name="15.06" sheetId="15" r:id="rId15"/>
    <sheet name="16.06" sheetId="16" r:id="rId16"/>
    <sheet name="17.06" sheetId="17" r:id="rId17"/>
    <sheet name="18.06" sheetId="18" r:id="rId18"/>
    <sheet name="19.06" sheetId="19" r:id="rId19"/>
    <sheet name="20.06" sheetId="20" r:id="rId20"/>
    <sheet name="21.06" sheetId="21" r:id="rId21"/>
    <sheet name="22.06" sheetId="22" r:id="rId22"/>
    <sheet name="23.06" sheetId="23" r:id="rId23"/>
    <sheet name="24.06" sheetId="24" r:id="rId24"/>
    <sheet name="25.06" sheetId="25" r:id="rId25"/>
    <sheet name="26.06" sheetId="26" r:id="rId26"/>
    <sheet name="27.06" sheetId="27" r:id="rId27"/>
    <sheet name="28.06" sheetId="28" r:id="rId28"/>
    <sheet name="29.06" sheetId="29" r:id="rId29"/>
    <sheet name="30.06" sheetId="30" r:id="rId30"/>
  </sheets>
  <definedNames>
    <definedName name="_xlnm._FilterDatabase" localSheetId="0" hidden="1">'01.06'!$A$2:$M$10</definedName>
    <definedName name="_xlnm._FilterDatabase" localSheetId="1" hidden="1">'02.06'!$A$2:$M$10</definedName>
    <definedName name="_xlnm._FilterDatabase" localSheetId="2" hidden="1">'03.06'!$A$2:$M$10</definedName>
    <definedName name="_xlnm._FilterDatabase" localSheetId="3" hidden="1">'04.06'!$A$2:$M$10</definedName>
    <definedName name="_xlnm._FilterDatabase" localSheetId="4" hidden="1">'05.06'!$A$2:$M$10</definedName>
    <definedName name="_xlnm._FilterDatabase" localSheetId="5" hidden="1">'06.06'!$A$2:$M$10</definedName>
    <definedName name="_xlnm._FilterDatabase" localSheetId="6" hidden="1">'07.06'!$A$2:$M$10</definedName>
    <definedName name="_xlnm._FilterDatabase" localSheetId="7" hidden="1">'08.06'!$A$2:$M$10</definedName>
    <definedName name="_xlnm._FilterDatabase" localSheetId="8" hidden="1">'09.06'!$A$2:$M$10</definedName>
    <definedName name="_xlnm._FilterDatabase" localSheetId="9" hidden="1">'10.06'!$A$2:$M$10</definedName>
    <definedName name="_xlnm._FilterDatabase" localSheetId="10" hidden="1">'11.06'!$A$2:$M$10</definedName>
    <definedName name="_xlnm._FilterDatabase" localSheetId="11" hidden="1">'12.06'!$A$2:$M$10</definedName>
    <definedName name="_xlnm._FilterDatabase" localSheetId="12" hidden="1">'13.06'!$A$2:$M$10</definedName>
    <definedName name="_xlnm._FilterDatabase" localSheetId="13" hidden="1">'14.06'!$A$2:$M$10</definedName>
    <definedName name="_xlnm._FilterDatabase" localSheetId="14" hidden="1">'15.06'!$A$2:$M$10</definedName>
    <definedName name="_xlnm._FilterDatabase" localSheetId="15" hidden="1">'16.06'!$A$2:$M$10</definedName>
    <definedName name="_xlnm._FilterDatabase" localSheetId="16" hidden="1">'17.06'!$A$2:$M$10</definedName>
    <definedName name="_xlnm._FilterDatabase" localSheetId="17" hidden="1">'18.06'!$B$2:$M$10</definedName>
    <definedName name="_xlnm._FilterDatabase" localSheetId="18" hidden="1">'19.06'!$B$2:$M$10</definedName>
    <definedName name="_xlnm._FilterDatabase" localSheetId="19" hidden="1">'20.06'!$B$2:$M$10</definedName>
    <definedName name="_xlnm._FilterDatabase" localSheetId="20" hidden="1">'21.06'!$B$2:$M$10</definedName>
    <definedName name="_xlnm._FilterDatabase" localSheetId="21" hidden="1">'22.06'!$B$2:$M$10</definedName>
    <definedName name="_xlnm._FilterDatabase" localSheetId="22" hidden="1">'23.06'!$B$2:$M$10</definedName>
    <definedName name="_xlnm._FilterDatabase" localSheetId="23" hidden="1">'24.06'!$B$2:$M$10</definedName>
    <definedName name="_xlnm._FilterDatabase" localSheetId="24" hidden="1">'25.06'!$B$2:$M$10</definedName>
    <definedName name="_xlnm._FilterDatabase" localSheetId="25" hidden="1">'26.06'!$B$2:$M$10</definedName>
    <definedName name="_xlnm._FilterDatabase" localSheetId="26" hidden="1">'27.06'!$B$2:$M$10</definedName>
    <definedName name="_xlnm._FilterDatabase" localSheetId="27" hidden="1">'28.06'!$B$2:$M$10</definedName>
    <definedName name="_xlnm._FilterDatabase" localSheetId="28" hidden="1">'29.06'!$B$2:$M$10</definedName>
    <definedName name="_xlnm._FilterDatabase" localSheetId="29" hidden="1">'30.06'!$B$2:$M$10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30" l="1"/>
  <c r="C13" i="30"/>
  <c r="A12" i="30"/>
  <c r="A11" i="30"/>
  <c r="A10" i="30"/>
  <c r="A9" i="30"/>
  <c r="A8" i="30"/>
  <c r="A7" i="30"/>
  <c r="A6" i="30"/>
  <c r="A5" i="30"/>
  <c r="A4" i="30"/>
  <c r="A3" i="30"/>
  <c r="D13" i="30" l="1"/>
  <c r="E13" i="29"/>
  <c r="C13" i="29"/>
  <c r="A12" i="29"/>
  <c r="A11" i="29"/>
  <c r="A10" i="29"/>
  <c r="A9" i="29"/>
  <c r="A8" i="29"/>
  <c r="A7" i="29"/>
  <c r="A6" i="29"/>
  <c r="A5" i="29"/>
  <c r="A4" i="29"/>
  <c r="A3" i="29"/>
  <c r="D13" i="29" l="1"/>
  <c r="D4" i="28"/>
  <c r="D7" i="28"/>
  <c r="D5" i="28"/>
  <c r="D9" i="28"/>
  <c r="D3" i="28"/>
  <c r="D8" i="28"/>
  <c r="D10" i="28"/>
  <c r="D6" i="28"/>
  <c r="E13" i="28"/>
  <c r="C13" i="28"/>
  <c r="A12" i="28"/>
  <c r="A11" i="28"/>
  <c r="A10" i="28"/>
  <c r="A9" i="28"/>
  <c r="A8" i="28"/>
  <c r="A7" i="28"/>
  <c r="A6" i="28"/>
  <c r="A5" i="28"/>
  <c r="A4" i="28"/>
  <c r="A3" i="28"/>
  <c r="D13" i="28" l="1"/>
  <c r="D10" i="26"/>
  <c r="D9" i="26"/>
  <c r="D8" i="26"/>
  <c r="D7" i="26"/>
  <c r="D6" i="26"/>
  <c r="D5" i="26"/>
  <c r="D4" i="26"/>
  <c r="D3" i="26"/>
  <c r="E13" i="27"/>
  <c r="C13" i="27"/>
  <c r="A12" i="27"/>
  <c r="A11" i="27"/>
  <c r="A10" i="27"/>
  <c r="A9" i="27"/>
  <c r="A8" i="27"/>
  <c r="A7" i="27"/>
  <c r="A6" i="27"/>
  <c r="A5" i="27"/>
  <c r="A4" i="27"/>
  <c r="A3" i="27"/>
  <c r="E13" i="26"/>
  <c r="C13" i="26"/>
  <c r="A12" i="26"/>
  <c r="A11" i="26"/>
  <c r="A10" i="26"/>
  <c r="A9" i="26"/>
  <c r="A8" i="26"/>
  <c r="A7" i="26"/>
  <c r="A6" i="26"/>
  <c r="A5" i="26"/>
  <c r="A4" i="26"/>
  <c r="A3" i="26"/>
  <c r="E13" i="25"/>
  <c r="C13" i="25"/>
  <c r="A12" i="25"/>
  <c r="A11" i="25"/>
  <c r="A10" i="25"/>
  <c r="A9" i="25"/>
  <c r="A8" i="25"/>
  <c r="A7" i="25"/>
  <c r="A6" i="25"/>
  <c r="A5" i="25"/>
  <c r="A4" i="25"/>
  <c r="A3" i="25"/>
  <c r="D13" i="27" l="1"/>
  <c r="D13" i="26"/>
  <c r="D13" i="25"/>
  <c r="E13" i="24"/>
  <c r="C13" i="24"/>
  <c r="A12" i="24"/>
  <c r="A11" i="24"/>
  <c r="A10" i="24"/>
  <c r="A9" i="24"/>
  <c r="A8" i="24"/>
  <c r="A7" i="24"/>
  <c r="A6" i="24"/>
  <c r="A5" i="24"/>
  <c r="A4" i="24"/>
  <c r="A3" i="24"/>
  <c r="D13" i="24" l="1"/>
  <c r="E13" i="23"/>
  <c r="C13" i="23"/>
  <c r="A12" i="23"/>
  <c r="A11" i="23"/>
  <c r="A10" i="23"/>
  <c r="A9" i="23"/>
  <c r="A8" i="23"/>
  <c r="A7" i="23"/>
  <c r="A6" i="23"/>
  <c r="A5" i="23"/>
  <c r="A4" i="23"/>
  <c r="A3" i="23"/>
  <c r="D13" i="23" l="1"/>
  <c r="E13" i="22"/>
  <c r="D13" i="22"/>
  <c r="C13" i="22"/>
  <c r="A12" i="22"/>
  <c r="A11" i="22"/>
  <c r="A10" i="22"/>
  <c r="A9" i="22"/>
  <c r="A8" i="22"/>
  <c r="A7" i="22"/>
  <c r="A6" i="22"/>
  <c r="A5" i="22"/>
  <c r="A4" i="22"/>
  <c r="A3" i="22"/>
  <c r="E13" i="21" l="1"/>
  <c r="C13" i="21"/>
  <c r="A12" i="21"/>
  <c r="A11" i="21"/>
  <c r="A10" i="21"/>
  <c r="A9" i="21"/>
  <c r="A8" i="21"/>
  <c r="A7" i="21"/>
  <c r="A6" i="21"/>
  <c r="A5" i="21"/>
  <c r="A4" i="21"/>
  <c r="A3" i="21"/>
  <c r="D13" i="21" l="1"/>
  <c r="D10" i="20"/>
  <c r="D9" i="20"/>
  <c r="D8" i="20"/>
  <c r="D7" i="20"/>
  <c r="D6" i="20"/>
  <c r="D5" i="20"/>
  <c r="D4" i="20"/>
  <c r="D3" i="20"/>
  <c r="E13" i="20"/>
  <c r="C13" i="20"/>
  <c r="A12" i="20"/>
  <c r="A11" i="20"/>
  <c r="A10" i="20"/>
  <c r="A9" i="20"/>
  <c r="A8" i="20"/>
  <c r="A7" i="20"/>
  <c r="A6" i="20"/>
  <c r="A5" i="20"/>
  <c r="A4" i="20"/>
  <c r="A3" i="20"/>
  <c r="E13" i="19"/>
  <c r="C13" i="19"/>
  <c r="A12" i="19"/>
  <c r="A11" i="19"/>
  <c r="A10" i="19"/>
  <c r="A9" i="19"/>
  <c r="A8" i="19"/>
  <c r="A7" i="19"/>
  <c r="A6" i="19"/>
  <c r="A5" i="19"/>
  <c r="A4" i="19"/>
  <c r="A3" i="19"/>
  <c r="D13" i="20" l="1"/>
  <c r="D13" i="19"/>
  <c r="D4" i="18"/>
  <c r="D5" i="18"/>
  <c r="D6" i="18"/>
  <c r="D7" i="18"/>
  <c r="D8" i="18"/>
  <c r="D9" i="18"/>
  <c r="D10" i="18"/>
  <c r="D3" i="18"/>
  <c r="E13" i="18"/>
  <c r="C13" i="18"/>
  <c r="A12" i="18"/>
  <c r="A11" i="18"/>
  <c r="A10" i="18"/>
  <c r="A9" i="18"/>
  <c r="A8" i="18"/>
  <c r="A7" i="18"/>
  <c r="A6" i="18"/>
  <c r="A5" i="18"/>
  <c r="A4" i="18"/>
  <c r="A3" i="18"/>
  <c r="D13" i="18" l="1"/>
  <c r="D7" i="17"/>
  <c r="D5" i="17"/>
  <c r="D9" i="17"/>
  <c r="D6" i="17"/>
  <c r="D3" i="17"/>
  <c r="D8" i="17"/>
  <c r="D10" i="17"/>
  <c r="D4" i="17"/>
  <c r="E13" i="17"/>
  <c r="C13" i="17"/>
  <c r="A12" i="17"/>
  <c r="A11" i="17"/>
  <c r="A10" i="17"/>
  <c r="A9" i="17"/>
  <c r="A8" i="17"/>
  <c r="A7" i="17"/>
  <c r="A6" i="17"/>
  <c r="A5" i="17"/>
  <c r="A4" i="17"/>
  <c r="A3" i="17"/>
  <c r="D13" i="17" l="1"/>
  <c r="E13" i="16"/>
  <c r="D13" i="16"/>
  <c r="C13" i="16"/>
  <c r="A12" i="16"/>
  <c r="A11" i="16"/>
  <c r="A10" i="16"/>
  <c r="A9" i="16"/>
  <c r="A8" i="16"/>
  <c r="A7" i="16"/>
  <c r="A6" i="16"/>
  <c r="A5" i="16"/>
  <c r="A4" i="16"/>
  <c r="A3" i="16"/>
  <c r="E13" i="15" l="1"/>
  <c r="C13" i="15"/>
  <c r="A12" i="15"/>
  <c r="A11" i="15"/>
  <c r="A10" i="15"/>
  <c r="A9" i="15"/>
  <c r="A8" i="15"/>
  <c r="A7" i="15"/>
  <c r="A6" i="15"/>
  <c r="A5" i="15"/>
  <c r="A4" i="15"/>
  <c r="A3" i="15"/>
  <c r="D13" i="15" l="1"/>
  <c r="E13" i="14"/>
  <c r="C13" i="14"/>
  <c r="A12" i="14"/>
  <c r="A11" i="14"/>
  <c r="A10" i="14"/>
  <c r="A9" i="14"/>
  <c r="A8" i="14"/>
  <c r="A7" i="14"/>
  <c r="A6" i="14"/>
  <c r="A5" i="14"/>
  <c r="A4" i="14"/>
  <c r="A3" i="14"/>
  <c r="D13" i="14" l="1"/>
  <c r="E13" i="13"/>
  <c r="C13" i="13"/>
  <c r="A12" i="13"/>
  <c r="A11" i="13"/>
  <c r="A10" i="13"/>
  <c r="A9" i="13"/>
  <c r="A8" i="13"/>
  <c r="A7" i="13"/>
  <c r="A6" i="13"/>
  <c r="A5" i="13"/>
  <c r="A4" i="13"/>
  <c r="A3" i="13"/>
  <c r="E13" i="12"/>
  <c r="C13" i="12"/>
  <c r="A12" i="12"/>
  <c r="A11" i="12"/>
  <c r="A10" i="12"/>
  <c r="A9" i="12"/>
  <c r="A8" i="12"/>
  <c r="A7" i="12"/>
  <c r="A6" i="12"/>
  <c r="A5" i="12"/>
  <c r="A4" i="12"/>
  <c r="A3" i="12"/>
  <c r="D13" i="13" l="1"/>
  <c r="D13" i="12"/>
  <c r="D4" i="11"/>
  <c r="D5" i="11"/>
  <c r="D6" i="11"/>
  <c r="D7" i="11"/>
  <c r="D8" i="11"/>
  <c r="D9" i="11"/>
  <c r="D10" i="11"/>
  <c r="D3" i="11"/>
  <c r="E13" i="11"/>
  <c r="C13" i="11"/>
  <c r="A12" i="11"/>
  <c r="A11" i="11"/>
  <c r="A10" i="11"/>
  <c r="A9" i="11"/>
  <c r="A8" i="11"/>
  <c r="A7" i="11"/>
  <c r="A6" i="11"/>
  <c r="A5" i="11"/>
  <c r="A4" i="11"/>
  <c r="A3" i="11"/>
  <c r="D13" i="11" l="1"/>
  <c r="E13" i="10"/>
  <c r="C13" i="10"/>
  <c r="A12" i="10"/>
  <c r="A11" i="10"/>
  <c r="A10" i="10"/>
  <c r="A9" i="10"/>
  <c r="A8" i="10"/>
  <c r="A7" i="10"/>
  <c r="A6" i="10"/>
  <c r="A5" i="10"/>
  <c r="A4" i="10"/>
  <c r="D13" i="10"/>
  <c r="A3" i="10"/>
  <c r="D6" i="9" l="1"/>
  <c r="D7" i="9"/>
  <c r="D9" i="9"/>
  <c r="D10" i="9"/>
  <c r="D3" i="9"/>
  <c r="D8" i="9"/>
  <c r="D5" i="9"/>
  <c r="D4" i="9"/>
  <c r="E13" i="9"/>
  <c r="C13" i="9"/>
  <c r="A12" i="9"/>
  <c r="A11" i="9"/>
  <c r="A10" i="9"/>
  <c r="A9" i="9"/>
  <c r="A8" i="9"/>
  <c r="A7" i="9"/>
  <c r="A6" i="9"/>
  <c r="A5" i="9"/>
  <c r="A4" i="9"/>
  <c r="A3" i="9"/>
  <c r="D13" i="9" l="1"/>
  <c r="E13" i="8"/>
  <c r="D13" i="8"/>
  <c r="C13" i="8"/>
  <c r="A12" i="8"/>
  <c r="A11" i="8"/>
  <c r="A10" i="8"/>
  <c r="A9" i="8"/>
  <c r="A8" i="8"/>
  <c r="A7" i="8"/>
  <c r="A6" i="8"/>
  <c r="A5" i="8"/>
  <c r="A4" i="8"/>
  <c r="A3" i="8"/>
  <c r="E13" i="7"/>
  <c r="D13" i="7"/>
  <c r="C13" i="7"/>
  <c r="A12" i="7"/>
  <c r="A11" i="7"/>
  <c r="A10" i="7"/>
  <c r="A9" i="7"/>
  <c r="A8" i="7"/>
  <c r="A7" i="7"/>
  <c r="A6" i="7"/>
  <c r="A5" i="7"/>
  <c r="A4" i="7"/>
  <c r="A3" i="7"/>
  <c r="E13" i="6"/>
  <c r="D13" i="6"/>
  <c r="C13" i="6"/>
  <c r="A12" i="6"/>
  <c r="A11" i="6"/>
  <c r="A10" i="6"/>
  <c r="A9" i="6"/>
  <c r="A8" i="6"/>
  <c r="A7" i="6"/>
  <c r="A6" i="6"/>
  <c r="A5" i="6"/>
  <c r="A4" i="6"/>
  <c r="A3" i="6"/>
  <c r="E13" i="5"/>
  <c r="D13" i="5"/>
  <c r="C13" i="5"/>
  <c r="A12" i="5"/>
  <c r="A11" i="5"/>
  <c r="A10" i="5"/>
  <c r="A9" i="5"/>
  <c r="A8" i="5"/>
  <c r="A7" i="5"/>
  <c r="A6" i="5"/>
  <c r="A5" i="5"/>
  <c r="A4" i="5"/>
  <c r="A3" i="5"/>
  <c r="E13" i="4"/>
  <c r="D13" i="4"/>
  <c r="C13" i="4"/>
  <c r="A12" i="4"/>
  <c r="A11" i="4"/>
  <c r="A10" i="4"/>
  <c r="A9" i="4"/>
  <c r="A8" i="4"/>
  <c r="A7" i="4"/>
  <c r="A6" i="4"/>
  <c r="A5" i="4"/>
  <c r="A4" i="4"/>
  <c r="A3" i="4"/>
  <c r="E13" i="3" l="1"/>
  <c r="D13" i="3"/>
  <c r="C13" i="3"/>
  <c r="A12" i="3"/>
  <c r="A11" i="3"/>
  <c r="A10" i="3"/>
  <c r="A9" i="3"/>
  <c r="A8" i="3"/>
  <c r="A7" i="3"/>
  <c r="A6" i="3"/>
  <c r="A5" i="3"/>
  <c r="A4" i="3"/>
  <c r="A3" i="3"/>
  <c r="C13" i="2"/>
  <c r="E13" i="2"/>
  <c r="D13" i="2"/>
  <c r="A12" i="2"/>
  <c r="A11" i="2"/>
  <c r="A10" i="2"/>
  <c r="A9" i="2"/>
  <c r="A8" i="2"/>
  <c r="A7" i="2"/>
  <c r="A6" i="2"/>
  <c r="A5" i="2"/>
  <c r="A4" i="2"/>
  <c r="A3" i="2"/>
  <c r="E13" i="1"/>
  <c r="D13" i="1"/>
  <c r="C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<sst xmlns="http://schemas.openxmlformats.org/spreadsheetml/2006/main" count="750" uniqueCount="54">
  <si>
    <t>Sl No</t>
  </si>
  <si>
    <t>Branch</t>
  </si>
  <si>
    <t>Total Calls</t>
  </si>
  <si>
    <t>Answered</t>
  </si>
  <si>
    <t>Missed &amp; Abandoned</t>
  </si>
  <si>
    <t>AVG Handle Time</t>
  </si>
  <si>
    <t>AVG Waiting Time (Answered Calls)</t>
  </si>
  <si>
    <t>AVG Waiting Time (All Calls)</t>
  </si>
  <si>
    <t>Max Waiting Time (All Calls)</t>
  </si>
  <si>
    <t>Average Talking Time</t>
  </si>
  <si>
    <t>Answered Rate</t>
  </si>
  <si>
    <t>Abandon Rate</t>
  </si>
  <si>
    <t>Sales Rate</t>
  </si>
  <si>
    <t>Saad Abdulla</t>
  </si>
  <si>
    <t>Qurtuba 1</t>
  </si>
  <si>
    <t>Sabah Al Salam</t>
  </si>
  <si>
    <t>89 MALL</t>
  </si>
  <si>
    <t>Dasman</t>
  </si>
  <si>
    <t>Surra Block 3</t>
  </si>
  <si>
    <t>Kefan</t>
  </si>
  <si>
    <t>89 MALL Hair spa</t>
  </si>
  <si>
    <r>
      <t xml:space="preserve">Call Center </t>
    </r>
    <r>
      <rPr>
        <sz val="11"/>
        <color rgb="FFFF0000"/>
        <rFont val="Book Antiqua"/>
        <family val="1"/>
      </rPr>
      <t>&lt;Sara 887&gt;</t>
    </r>
  </si>
  <si>
    <r>
      <t xml:space="preserve">Call Center </t>
    </r>
    <r>
      <rPr>
        <sz val="11"/>
        <color rgb="FFFF0000"/>
        <rFont val="Book Antiqua"/>
        <family val="1"/>
      </rPr>
      <t>&lt;Sansa 888&gt;</t>
    </r>
  </si>
  <si>
    <t>Total</t>
  </si>
  <si>
    <t>Call Center-Report-01.06.2025</t>
  </si>
  <si>
    <t>Call Center-Report-02.06.2025</t>
  </si>
  <si>
    <t>Call Center-Report-03.06.2025</t>
  </si>
  <si>
    <t>Call Center-Report-05.06.2025</t>
  </si>
  <si>
    <t>Call Center-Report-04.06.2025</t>
  </si>
  <si>
    <t>Call Center-Report-06.06.2025</t>
  </si>
  <si>
    <t>Call Center-Report-07.06.2025</t>
  </si>
  <si>
    <t>Call Center-Report-08.06.2025</t>
  </si>
  <si>
    <t>Call Center-Report-09.06.2025</t>
  </si>
  <si>
    <t>Call Center-Report-10.06.2025</t>
  </si>
  <si>
    <t>Call Center-Report-11.06.2025</t>
  </si>
  <si>
    <t>Call Center-Report-12.06.2025</t>
  </si>
  <si>
    <t>Call Center-Report-13.06.2025</t>
  </si>
  <si>
    <t>Call Center-Report-14.06.2025</t>
  </si>
  <si>
    <t>Call Center-Report-15.06.2025</t>
  </si>
  <si>
    <t>Call Center-Report-16.06.2025</t>
  </si>
  <si>
    <t>Call Center-Report-17.06.2025</t>
  </si>
  <si>
    <t>Call Center-Report-18.06.2025</t>
  </si>
  <si>
    <t>Call Center-Report-19.06.2025</t>
  </si>
  <si>
    <t>Call Center-Report-20.06.2025</t>
  </si>
  <si>
    <t>Call Center-Report-21.06.2025</t>
  </si>
  <si>
    <t>Call Center-Report-22.06.2025</t>
  </si>
  <si>
    <t>Call Center-Report-23.06.2025</t>
  </si>
  <si>
    <t>Call Center-Report-24.06.2025</t>
  </si>
  <si>
    <t>Call Center-Report-25.06.2025</t>
  </si>
  <si>
    <t>Call Center-Report-26.06.2025</t>
  </si>
  <si>
    <t>Call Center-Report-27.06.2025</t>
  </si>
  <si>
    <t>Call Center-Report-28.06.2025</t>
  </si>
  <si>
    <t>Call Center-Report-29.06.2025</t>
  </si>
  <si>
    <t>Call Center-Report-30.06.2025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</si>
</sst>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ook Antiqua"/>
      <family val="1"/>
    </font>
    <font>
      <sz val="11"/>
      <color theme="1"/>
      <name val="Book Antiqua"/>
      <family val="1"/>
    </font>
    <font>
      <sz val="11"/>
      <color rgb="FFFF0000"/>
      <name val="Book Antiqua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21" fontId="3" fillId="0" borderId="3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/>
    </xf>
    <xf numFmtId="9" fontId="3" fillId="0" borderId="3" xfId="1" applyFont="1" applyBorder="1" applyAlignment="1">
      <alignment horizontal="center"/>
    </xf>
    <xf numFmtId="21" fontId="3" fillId="0" borderId="3" xfId="0" applyNumberFormat="1" applyFont="1" applyBorder="1"/>
    <xf numFmtId="10" fontId="3" fillId="0" borderId="3" xfId="0" applyNumberFormat="1" applyFont="1" applyBorder="1"/>
    <xf numFmtId="0" fontId="2" fillId="2" borderId="3" xfId="0" applyFont="1" applyFill="1" applyBorder="1"/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'01.06'!$L$2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'01.06'!$B$3:$B$10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Qurtuba 1</c:v>
                </c:pt>
                <c:pt idx="3">
                  <c:v>89 MALL</c:v>
                </c:pt>
                <c:pt idx="4">
                  <c:v>Kefan</c:v>
                </c:pt>
                <c:pt idx="5">
                  <c:v>Dasman</c:v>
                </c:pt>
                <c:pt idx="6">
                  <c:v>Surra Block 3</c:v>
                </c:pt>
                <c:pt idx="7">
                  <c:v>89 MALL Hair spa</c:v>
                </c:pt>
              </c:strCache>
            </c:strRef>
          </c:cat>
          <c:val>
            <c:numRef>
              <c:f>'01.06'!$L$3:$L$10</c:f>
              <c:numCache>
                <c:formatCode>0.00%</c:formatCode>
                <c:ptCount val="8"/>
                <c:pt idx="0">
                  <c:v>0.74750000000000005</c:v>
                </c:pt>
                <c:pt idx="1">
                  <c:v>0.41099999999999998</c:v>
                </c:pt>
                <c:pt idx="2">
                  <c:v>0.40870000000000001</c:v>
                </c:pt>
                <c:pt idx="3">
                  <c:v>0.35289999999999999</c:v>
                </c:pt>
                <c:pt idx="4">
                  <c:v>0.1047</c:v>
                </c:pt>
                <c:pt idx="5">
                  <c:v>0.10340000000000001</c:v>
                </c:pt>
                <c:pt idx="6">
                  <c:v>0.1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A-4306-9F78-166A67EDDAA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'02.06'!$L$2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'02.06'!$B$3:$B$10</c:f>
              <c:strCache>
                <c:ptCount val="8"/>
                <c:pt idx="0">
                  <c:v>Qurtuba 1</c:v>
                </c:pt>
                <c:pt idx="1">
                  <c:v>89 MALL</c:v>
                </c:pt>
                <c:pt idx="2">
                  <c:v>Sabah Al Salam</c:v>
                </c:pt>
                <c:pt idx="3">
                  <c:v>Kefan</c:v>
                </c:pt>
                <c:pt idx="4">
                  <c:v>89 MALL Hair spa</c:v>
                </c:pt>
                <c:pt idx="5">
                  <c:v>Saad Abdulla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'02.06'!$L$3:$L$10</c:f>
              <c:numCache>
                <c:formatCode>0.00%</c:formatCode>
                <c:ptCount val="8"/>
                <c:pt idx="0">
                  <c:v>0.56720000000000004</c:v>
                </c:pt>
                <c:pt idx="1">
                  <c:v>0.55559999999999998</c:v>
                </c:pt>
                <c:pt idx="2">
                  <c:v>0.48039999999999999</c:v>
                </c:pt>
                <c:pt idx="3">
                  <c:v>0.40789999999999998</c:v>
                </c:pt>
                <c:pt idx="4">
                  <c:v>0.26319999999999999</c:v>
                </c:pt>
                <c:pt idx="5">
                  <c:v>0.13159999999999999</c:v>
                </c:pt>
                <c:pt idx="6">
                  <c:v>0.12770000000000001</c:v>
                </c:pt>
                <c:pt idx="7">
                  <c:v>0.1176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D-4D0C-9381-F520FE583AD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'03.06'!$L$2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'03.06'!$B$3:$B$10</c:f>
              <c:strCache>
                <c:ptCount val="8"/>
                <c:pt idx="0">
                  <c:v>89 MALL</c:v>
                </c:pt>
                <c:pt idx="1">
                  <c:v>Sabah Al Salam</c:v>
                </c:pt>
                <c:pt idx="2">
                  <c:v>Saad Abdulla</c:v>
                </c:pt>
                <c:pt idx="3">
                  <c:v>Qurtuba 1</c:v>
                </c:pt>
                <c:pt idx="4">
                  <c:v>Dasman</c:v>
                </c:pt>
                <c:pt idx="5">
                  <c:v>Kefan</c:v>
                </c:pt>
                <c:pt idx="6">
                  <c:v>89 MALL Hair spa</c:v>
                </c:pt>
                <c:pt idx="7">
                  <c:v>Surra Block 3</c:v>
                </c:pt>
              </c:strCache>
            </c:strRef>
          </c:cat>
          <c:val>
            <c:numRef>
              <c:f>'03.06'!$L$3:$L$10</c:f>
              <c:numCache>
                <c:formatCode>0.00%</c:formatCode>
                <c:ptCount val="8"/>
                <c:pt idx="0">
                  <c:v>0.37309999999999999</c:v>
                </c:pt>
                <c:pt idx="1">
                  <c:v>0.36</c:v>
                </c:pt>
                <c:pt idx="2">
                  <c:v>0.35110000000000002</c:v>
                </c:pt>
                <c:pt idx="3">
                  <c:v>0.32650000000000001</c:v>
                </c:pt>
                <c:pt idx="4">
                  <c:v>0.28570000000000001</c:v>
                </c:pt>
                <c:pt idx="5">
                  <c:v>0.22289999999999999</c:v>
                </c:pt>
                <c:pt idx="6">
                  <c:v>0.18179999999999999</c:v>
                </c:pt>
                <c:pt idx="7">
                  <c:v>1.7500000000000002E-2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F-4B0A-A342-B030A9B45F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'04.06'!$L$2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'04.06'!$B$3:$B$10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Qurtuba 1</c:v>
                </c:pt>
                <c:pt idx="3">
                  <c:v>89 MALL</c:v>
                </c:pt>
                <c:pt idx="4">
                  <c:v>Kefan</c:v>
                </c:pt>
                <c:pt idx="5">
                  <c:v>89 MALL Hair spa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'04.06'!$L$3:$L$10</c:f>
              <c:numCache>
                <c:formatCode>0.00%</c:formatCode>
                <c:ptCount val="8"/>
                <c:pt idx="0">
                  <c:v>0.76329999999999998</c:v>
                </c:pt>
                <c:pt idx="1">
                  <c:v>0.70450000000000002</c:v>
                </c:pt>
                <c:pt idx="2">
                  <c:v>0.48620000000000002</c:v>
                </c:pt>
                <c:pt idx="3">
                  <c:v>0.4375</c:v>
                </c:pt>
                <c:pt idx="4">
                  <c:v>0.41039999999999999</c:v>
                </c:pt>
                <c:pt idx="5">
                  <c:v>0.26919999999999999</c:v>
                </c:pt>
                <c:pt idx="6">
                  <c:v>0.2437</c:v>
                </c:pt>
                <c:pt idx="7">
                  <c:v>0.15240000000000001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A6-4092-9158-224BB811486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'05.06'!$L$2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'05.06'!$B$3:$B$10</c:f>
              <c:strCache>
                <c:ptCount val="8"/>
                <c:pt idx="0">
                  <c:v>Saad Abdulla</c:v>
                </c:pt>
                <c:pt idx="1">
                  <c:v>Sabah Al Salam</c:v>
                </c:pt>
                <c:pt idx="2">
                  <c:v>89 MALL</c:v>
                </c:pt>
                <c:pt idx="3">
                  <c:v>89 MALL Hair spa</c:v>
                </c:pt>
                <c:pt idx="4">
                  <c:v>Kefan</c:v>
                </c:pt>
                <c:pt idx="5">
                  <c:v>Surra Block 3</c:v>
                </c:pt>
                <c:pt idx="6">
                  <c:v>Qurtuba 1</c:v>
                </c:pt>
                <c:pt idx="7">
                  <c:v>Dasman</c:v>
                </c:pt>
              </c:strCache>
            </c:strRef>
          </c:cat>
          <c:val>
            <c:numRef>
              <c:f>'05.06'!$L$3:$L$10</c:f>
              <c:numCache>
                <c:formatCode>0.00%</c:formatCode>
                <c:ptCount val="8"/>
                <c:pt idx="0">
                  <c:v>0.8871</c:v>
                </c:pt>
                <c:pt idx="1">
                  <c:v>0.82720000000000005</c:v>
                </c:pt>
                <c:pt idx="2">
                  <c:v>0.66459999999999997</c:v>
                </c:pt>
                <c:pt idx="3">
                  <c:v>0.35899999999999999</c:v>
                </c:pt>
                <c:pt idx="4">
                  <c:v>0.2944</c:v>
                </c:pt>
                <c:pt idx="5">
                  <c:v>0.23949999999999999</c:v>
                </c:pt>
                <c:pt idx="6">
                  <c:v>0.2291</c:v>
                </c:pt>
                <c:pt idx="7">
                  <c:v>0.22220000000000001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7-4461-B9FA-D85401EC672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'06.06'!$L$2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'06.06'!$B$3:$B$10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89 MALL</c:v>
                </c:pt>
                <c:pt idx="3">
                  <c:v>Qurtuba 1</c:v>
                </c:pt>
                <c:pt idx="4">
                  <c:v>89 MALL Hair spa</c:v>
                </c:pt>
                <c:pt idx="5">
                  <c:v>Kefan</c:v>
                </c:pt>
                <c:pt idx="6">
                  <c:v>Surra Block 3</c:v>
                </c:pt>
                <c:pt idx="7">
                  <c:v>Dasman</c:v>
                </c:pt>
              </c:strCache>
            </c:strRef>
          </c:cat>
          <c:val>
            <c:numRef>
              <c:f>'06.06'!$L$3:$L$10</c:f>
              <c:numCache>
                <c:formatCode>0.00%</c:formatCode>
                <c:ptCount val="8"/>
                <c:pt idx="0">
                  <c:v>0.92390000000000005</c:v>
                </c:pt>
                <c:pt idx="1">
                  <c:v>0.83330000000000004</c:v>
                </c:pt>
                <c:pt idx="2">
                  <c:v>0.74760000000000004</c:v>
                </c:pt>
                <c:pt idx="3">
                  <c:v>0.33560000000000001</c:v>
                </c:pt>
                <c:pt idx="4">
                  <c:v>0.26319999999999999</c:v>
                </c:pt>
                <c:pt idx="5">
                  <c:v>0.22309999999999999</c:v>
                </c:pt>
                <c:pt idx="6">
                  <c:v>0.20449999999999999</c:v>
                </c:pt>
                <c:pt idx="7">
                  <c:v>0.15870000000000001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51-4F47-9F8A-BF22B28FF4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'07.06'!$L$2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'07.06'!$B$3:$B$10</c:f>
              <c:strCache>
                <c:ptCount val="8"/>
                <c:pt idx="0">
                  <c:v>89 MALL</c:v>
                </c:pt>
                <c:pt idx="1">
                  <c:v>Sabah Al Salam</c:v>
                </c:pt>
                <c:pt idx="2">
                  <c:v>Saad Abdulla</c:v>
                </c:pt>
                <c:pt idx="3">
                  <c:v>Kefan</c:v>
                </c:pt>
                <c:pt idx="4">
                  <c:v>Dasman</c:v>
                </c:pt>
                <c:pt idx="5">
                  <c:v>Qurtuba 1</c:v>
                </c:pt>
                <c:pt idx="6">
                  <c:v>89 MALL Hair spa</c:v>
                </c:pt>
                <c:pt idx="7">
                  <c:v>Surra Block 3</c:v>
                </c:pt>
              </c:strCache>
            </c:strRef>
          </c:cat>
          <c:val>
            <c:numRef>
              <c:f>'07.06'!$L$3:$L$10</c:f>
              <c:numCache>
                <c:formatCode>0.00%</c:formatCode>
                <c:ptCount val="8"/>
                <c:pt idx="0">
                  <c:v>0.7077</c:v>
                </c:pt>
                <c:pt idx="1">
                  <c:v>0.56520000000000004</c:v>
                </c:pt>
                <c:pt idx="2">
                  <c:v>0.40160000000000001</c:v>
                </c:pt>
                <c:pt idx="3">
                  <c:v>0.30769999999999997</c:v>
                </c:pt>
                <c:pt idx="4">
                  <c:v>0.2581</c:v>
                </c:pt>
                <c:pt idx="5">
                  <c:v>0.25509999999999999</c:v>
                </c:pt>
                <c:pt idx="6">
                  <c:v>0.23530000000000001</c:v>
                </c:pt>
                <c:pt idx="7">
                  <c:v>0.17649999999999999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5D-4163-B863-5CED4389C5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'08.06'!$L$2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'08.06'!$B$3:$B$10</c:f>
              <c:strCache>
                <c:ptCount val="8"/>
                <c:pt idx="0">
                  <c:v>89 MALL</c:v>
                </c:pt>
                <c:pt idx="1">
                  <c:v>Sabah Al Salam</c:v>
                </c:pt>
                <c:pt idx="2">
                  <c:v>Qurtuba 1</c:v>
                </c:pt>
                <c:pt idx="3">
                  <c:v>89 MALL Hair spa</c:v>
                </c:pt>
                <c:pt idx="4">
                  <c:v>Kefan</c:v>
                </c:pt>
                <c:pt idx="5">
                  <c:v>Saad Abdulla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'08.06'!$L$3:$L$10</c:f>
              <c:numCache>
                <c:formatCode>0.00%</c:formatCode>
                <c:ptCount val="8"/>
                <c:pt idx="0">
                  <c:v>0.78080000000000005</c:v>
                </c:pt>
                <c:pt idx="1">
                  <c:v>0.68589999999999995</c:v>
                </c:pt>
                <c:pt idx="2">
                  <c:v>0.38350000000000001</c:v>
                </c:pt>
                <c:pt idx="3">
                  <c:v>0.31819999999999998</c:v>
                </c:pt>
                <c:pt idx="4">
                  <c:v>0.2979</c:v>
                </c:pt>
                <c:pt idx="5">
                  <c:v>0.25</c:v>
                </c:pt>
                <c:pt idx="6">
                  <c:v>0.23680000000000001</c:v>
                </c:pt>
                <c:pt idx="7">
                  <c:v>0.1017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3B-4D4E-A73D-1662EBCB1DA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'09.06'!$L$2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'09.06'!$B$3:$B$10</c:f>
              <c:strCache>
                <c:ptCount val="8"/>
                <c:pt idx="0">
                  <c:v>89 MALL</c:v>
                </c:pt>
                <c:pt idx="1">
                  <c:v>Sabah Al Salam</c:v>
                </c:pt>
                <c:pt idx="2">
                  <c:v>89 MALL Hair spa</c:v>
                </c:pt>
                <c:pt idx="3">
                  <c:v>Kefan</c:v>
                </c:pt>
                <c:pt idx="4">
                  <c:v>Qurtuba 1</c:v>
                </c:pt>
                <c:pt idx="5">
                  <c:v>Saad Abdulla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'09.06'!$L$3:$L$10</c:f>
              <c:numCache>
                <c:formatCode>0.00%</c:formatCode>
                <c:ptCount val="8"/>
                <c:pt idx="0">
                  <c:v>0.47499999999999998</c:v>
                </c:pt>
                <c:pt idx="1">
                  <c:v>0.39729999999999999</c:v>
                </c:pt>
                <c:pt idx="2">
                  <c:v>0.23080000000000001</c:v>
                </c:pt>
                <c:pt idx="3">
                  <c:v>0.21149999999999999</c:v>
                </c:pt>
                <c:pt idx="4">
                  <c:v>0.2079</c:v>
                </c:pt>
                <c:pt idx="5">
                  <c:v>0.2051</c:v>
                </c:pt>
                <c:pt idx="6">
                  <c:v>0.13639999999999999</c:v>
                </c:pt>
                <c:pt idx="7">
                  <c:v>5.1700000000000003E-2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C-4A8E-B4B7-41D308E9FA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'10.06'!$L$2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'10.06'!$B$3:$B$10</c:f>
              <c:strCache>
                <c:ptCount val="8"/>
                <c:pt idx="0">
                  <c:v>89 MALL</c:v>
                </c:pt>
                <c:pt idx="1">
                  <c:v>Kefan</c:v>
                </c:pt>
                <c:pt idx="2">
                  <c:v>Sabah Al Salam</c:v>
                </c:pt>
                <c:pt idx="3">
                  <c:v>Qurtuba 1</c:v>
                </c:pt>
                <c:pt idx="4">
                  <c:v>Dasman</c:v>
                </c:pt>
                <c:pt idx="5">
                  <c:v>89 MALL Hair spa</c:v>
                </c:pt>
                <c:pt idx="6">
                  <c:v>Saad Abdulla</c:v>
                </c:pt>
                <c:pt idx="7">
                  <c:v>Surra Block 3</c:v>
                </c:pt>
              </c:strCache>
            </c:strRef>
          </c:cat>
          <c:val>
            <c:numRef>
              <c:f>'10.06'!$L$3:$L$10</c:f>
              <c:numCache>
                <c:formatCode>0.00%</c:formatCode>
                <c:ptCount val="8"/>
                <c:pt idx="0">
                  <c:v>0.375</c:v>
                </c:pt>
                <c:pt idx="1">
                  <c:v>0.34339999999999998</c:v>
                </c:pt>
                <c:pt idx="2">
                  <c:v>0.2545</c:v>
                </c:pt>
                <c:pt idx="3">
                  <c:v>0.21879999999999999</c:v>
                </c:pt>
                <c:pt idx="4">
                  <c:v>0.21429999999999999</c:v>
                </c:pt>
                <c:pt idx="5">
                  <c:v>0.15790000000000001</c:v>
                </c:pt>
                <c:pt idx="6">
                  <c:v>6.1199999999999997E-2</c:v>
                </c:pt>
                <c:pt idx="7">
                  <c:v>5.6599999999999998E-2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D8-4D5D-A063-6194C9A8EC1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'11.06'!$L$2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'11.06'!$B$3:$B$10</c:f>
              <c:strCache>
                <c:ptCount val="8"/>
                <c:pt idx="0">
                  <c:v>Sabah Al Salam</c:v>
                </c:pt>
                <c:pt idx="1">
                  <c:v>89 MALL</c:v>
                </c:pt>
                <c:pt idx="2">
                  <c:v>Qurtuba 1</c:v>
                </c:pt>
                <c:pt idx="3">
                  <c:v>Saad Abdulla</c:v>
                </c:pt>
                <c:pt idx="4">
                  <c:v>89 MALL Hair spa</c:v>
                </c:pt>
                <c:pt idx="5">
                  <c:v>Kefan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'11.06'!$L$3:$L$10</c:f>
              <c:numCache>
                <c:formatCode>0.00%</c:formatCode>
                <c:ptCount val="8"/>
                <c:pt idx="0">
                  <c:v>0.26050000000000001</c:v>
                </c:pt>
                <c:pt idx="1">
                  <c:v>0.23400000000000001</c:v>
                </c:pt>
                <c:pt idx="2">
                  <c:v>0.16669999999999999</c:v>
                </c:pt>
                <c:pt idx="3">
                  <c:v>0.13730000000000001</c:v>
                </c:pt>
                <c:pt idx="4">
                  <c:v>0.125</c:v>
                </c:pt>
                <c:pt idx="5">
                  <c:v>0.1176</c:v>
                </c:pt>
                <c:pt idx="6">
                  <c:v>4.3499999999999997E-2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56-4DB1-97F9-FC36C654A0E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'12.06'!$L$2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'12.06'!$B$3:$B$10</c:f>
              <c:strCache>
                <c:ptCount val="8"/>
                <c:pt idx="0">
                  <c:v>Saad Abdulla</c:v>
                </c:pt>
                <c:pt idx="1">
                  <c:v>Dasman</c:v>
                </c:pt>
                <c:pt idx="2">
                  <c:v>Sabah Al Salam</c:v>
                </c:pt>
                <c:pt idx="3">
                  <c:v>89 MALL</c:v>
                </c:pt>
                <c:pt idx="4">
                  <c:v>Kefan</c:v>
                </c:pt>
                <c:pt idx="5">
                  <c:v>89 MALL Hair spa</c:v>
                </c:pt>
                <c:pt idx="6">
                  <c:v>Surra Block 3</c:v>
                </c:pt>
                <c:pt idx="7">
                  <c:v>Qurtuba 1</c:v>
                </c:pt>
              </c:strCache>
            </c:strRef>
          </c:cat>
          <c:val>
            <c:numRef>
              <c:f>'12.06'!$L$3:$L$10</c:f>
              <c:numCache>
                <c:formatCode>0.00%</c:formatCode>
                <c:ptCount val="8"/>
                <c:pt idx="0">
                  <c:v>0.36559999999999998</c:v>
                </c:pt>
                <c:pt idx="1">
                  <c:v>0.27660000000000001</c:v>
                </c:pt>
                <c:pt idx="2">
                  <c:v>0.27129999999999999</c:v>
                </c:pt>
                <c:pt idx="3">
                  <c:v>0.26829999999999998</c:v>
                </c:pt>
                <c:pt idx="4">
                  <c:v>0.23400000000000001</c:v>
                </c:pt>
                <c:pt idx="5">
                  <c:v>0.2273</c:v>
                </c:pt>
                <c:pt idx="6">
                  <c:v>0.14000000000000001</c:v>
                </c:pt>
                <c:pt idx="7">
                  <c:v>0.1143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6-4078-947D-02DA798A5A4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'13.06'!$L$2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'13.06'!$B$3:$B$10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Qurtuba 1</c:v>
                </c:pt>
                <c:pt idx="3">
                  <c:v>Kefan</c:v>
                </c:pt>
                <c:pt idx="4">
                  <c:v>89 MALL</c:v>
                </c:pt>
                <c:pt idx="5">
                  <c:v>Dasman</c:v>
                </c:pt>
                <c:pt idx="6">
                  <c:v>89 MALL Hair spa</c:v>
                </c:pt>
                <c:pt idx="7">
                  <c:v>Surra Block 3</c:v>
                </c:pt>
              </c:strCache>
            </c:strRef>
          </c:cat>
          <c:val>
            <c:numRef>
              <c:f>'13.06'!$L$3:$L$10</c:f>
              <c:numCache>
                <c:formatCode>0.00%</c:formatCode>
                <c:ptCount val="8"/>
                <c:pt idx="0">
                  <c:v>0.56030000000000002</c:v>
                </c:pt>
                <c:pt idx="1">
                  <c:v>0.5</c:v>
                </c:pt>
                <c:pt idx="2">
                  <c:v>0.17050000000000001</c:v>
                </c:pt>
                <c:pt idx="3">
                  <c:v>0.1605</c:v>
                </c:pt>
                <c:pt idx="4">
                  <c:v>0.10639999999999999</c:v>
                </c:pt>
                <c:pt idx="5">
                  <c:v>0.1053</c:v>
                </c:pt>
                <c:pt idx="6">
                  <c:v>7.6899999999999996E-2</c:v>
                </c:pt>
                <c:pt idx="7">
                  <c:v>4.3499999999999997E-2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44-4055-8D60-F6DA7FBA897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'14.06'!$L$2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'14.06'!$B$3:$B$10</c:f>
              <c:strCache>
                <c:ptCount val="8"/>
                <c:pt idx="0">
                  <c:v>Sabah Al Salam</c:v>
                </c:pt>
                <c:pt idx="1">
                  <c:v>89 MALL Hair spa</c:v>
                </c:pt>
                <c:pt idx="2">
                  <c:v>Qurtuba 1</c:v>
                </c:pt>
                <c:pt idx="3">
                  <c:v>Saad Abdulla</c:v>
                </c:pt>
                <c:pt idx="4">
                  <c:v>Dasman</c:v>
                </c:pt>
                <c:pt idx="5">
                  <c:v>89 MALL</c:v>
                </c:pt>
                <c:pt idx="6">
                  <c:v>Surra Block 3</c:v>
                </c:pt>
                <c:pt idx="7">
                  <c:v>Kefan</c:v>
                </c:pt>
              </c:strCache>
            </c:strRef>
          </c:cat>
          <c:val>
            <c:numRef>
              <c:f>'14.06'!$L$3:$L$10</c:f>
              <c:numCache>
                <c:formatCode>0.00%</c:formatCode>
                <c:ptCount val="8"/>
                <c:pt idx="0">
                  <c:v>0.35659999999999997</c:v>
                </c:pt>
                <c:pt idx="1">
                  <c:v>0.33329999999999999</c:v>
                </c:pt>
                <c:pt idx="2">
                  <c:v>0.18029999999999999</c:v>
                </c:pt>
                <c:pt idx="3">
                  <c:v>0.1515</c:v>
                </c:pt>
                <c:pt idx="4">
                  <c:v>0.14630000000000001</c:v>
                </c:pt>
                <c:pt idx="5">
                  <c:v>0.1429</c:v>
                </c:pt>
                <c:pt idx="6">
                  <c:v>0.12770000000000001</c:v>
                </c:pt>
                <c:pt idx="7">
                  <c:v>7.2499999999999995E-2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0-4BF6-BCC5-5D9254CC8F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'15.06'!$L$2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'15.06'!$B$3:$B$10</c:f>
              <c:strCache>
                <c:ptCount val="8"/>
                <c:pt idx="0">
                  <c:v>Sabah Al Salam</c:v>
                </c:pt>
                <c:pt idx="1">
                  <c:v>Qurtuba 1</c:v>
                </c:pt>
                <c:pt idx="2">
                  <c:v>Kefan</c:v>
                </c:pt>
                <c:pt idx="3">
                  <c:v>Saad Abdulla</c:v>
                </c:pt>
                <c:pt idx="4">
                  <c:v>Dasman</c:v>
                </c:pt>
                <c:pt idx="5">
                  <c:v>89 MALL Hair spa</c:v>
                </c:pt>
                <c:pt idx="6">
                  <c:v>89 MALL</c:v>
                </c:pt>
                <c:pt idx="7">
                  <c:v>Surra Block 3</c:v>
                </c:pt>
              </c:strCache>
            </c:strRef>
          </c:cat>
          <c:val>
            <c:numRef>
              <c:f>'15.06'!$L$3:$L$10</c:f>
              <c:numCache>
                <c:formatCode>0.00%</c:formatCode>
                <c:ptCount val="8"/>
                <c:pt idx="0">
                  <c:v>0.60160000000000002</c:v>
                </c:pt>
                <c:pt idx="1">
                  <c:v>0.32890000000000003</c:v>
                </c:pt>
                <c:pt idx="2">
                  <c:v>0.2162</c:v>
                </c:pt>
                <c:pt idx="3">
                  <c:v>0.1875</c:v>
                </c:pt>
                <c:pt idx="4">
                  <c:v>0.1842</c:v>
                </c:pt>
                <c:pt idx="5">
                  <c:v>0.125</c:v>
                </c:pt>
                <c:pt idx="6">
                  <c:v>4.7600000000000003E-2</c:v>
                </c:pt>
                <c:pt idx="7">
                  <c:v>3.1199999999999999E-2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7-4BF8-B0A7-5BD5E88107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'16.06'!$L$2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'16.06'!$B$3:$B$10</c:f>
              <c:strCache>
                <c:ptCount val="8"/>
                <c:pt idx="0">
                  <c:v>Kefan</c:v>
                </c:pt>
                <c:pt idx="1">
                  <c:v>Sabah Al Salam</c:v>
                </c:pt>
                <c:pt idx="2">
                  <c:v>89 MALL</c:v>
                </c:pt>
                <c:pt idx="3">
                  <c:v>Dasman</c:v>
                </c:pt>
                <c:pt idx="4">
                  <c:v>Qurtuba 1</c:v>
                </c:pt>
                <c:pt idx="5">
                  <c:v>Surra Block 3</c:v>
                </c:pt>
                <c:pt idx="6">
                  <c:v>Saad Abdulla</c:v>
                </c:pt>
                <c:pt idx="7">
                  <c:v>89 MALL Hair spa</c:v>
                </c:pt>
              </c:strCache>
            </c:strRef>
          </c:cat>
          <c:val>
            <c:numRef>
              <c:f>'16.06'!$L$3:$L$10</c:f>
              <c:numCache>
                <c:formatCode>0.00%</c:formatCode>
                <c:ptCount val="8"/>
                <c:pt idx="0">
                  <c:v>0.31519999999999998</c:v>
                </c:pt>
                <c:pt idx="1">
                  <c:v>0.2727</c:v>
                </c:pt>
                <c:pt idx="2">
                  <c:v>0.17649999999999999</c:v>
                </c:pt>
                <c:pt idx="3">
                  <c:v>0.1714</c:v>
                </c:pt>
                <c:pt idx="4">
                  <c:v>0.1633</c:v>
                </c:pt>
                <c:pt idx="5">
                  <c:v>8.8900000000000007E-2</c:v>
                </c:pt>
                <c:pt idx="6">
                  <c:v>3.6999999999999998E-2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4C-4454-8E7D-528AAD2A892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'17.06'!$L$2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'17.06'!$B$3:$B$10</c:f>
              <c:strCache>
                <c:ptCount val="8"/>
                <c:pt idx="0">
                  <c:v>Qurtuba 1</c:v>
                </c:pt>
                <c:pt idx="1">
                  <c:v>Sabah Al Salam</c:v>
                </c:pt>
                <c:pt idx="2">
                  <c:v>Kefan</c:v>
                </c:pt>
                <c:pt idx="3">
                  <c:v>89 MALL</c:v>
                </c:pt>
                <c:pt idx="4">
                  <c:v>Saad Abdulla</c:v>
                </c:pt>
                <c:pt idx="5">
                  <c:v>Dasman</c:v>
                </c:pt>
                <c:pt idx="6">
                  <c:v>Surra Block 3</c:v>
                </c:pt>
                <c:pt idx="7">
                  <c:v>89 MALL Hair spa</c:v>
                </c:pt>
              </c:strCache>
            </c:strRef>
          </c:cat>
          <c:val>
            <c:numRef>
              <c:f>'17.06'!$L$3:$L$10</c:f>
              <c:numCache>
                <c:formatCode>0.00%</c:formatCode>
                <c:ptCount val="8"/>
                <c:pt idx="0">
                  <c:v>0.21540000000000001</c:v>
                </c:pt>
                <c:pt idx="1">
                  <c:v>0.19320000000000001</c:v>
                </c:pt>
                <c:pt idx="2">
                  <c:v>0.11940000000000001</c:v>
                </c:pt>
                <c:pt idx="3">
                  <c:v>0.1111</c:v>
                </c:pt>
                <c:pt idx="4">
                  <c:v>0.1</c:v>
                </c:pt>
                <c:pt idx="5">
                  <c:v>9.6799999999999997E-2</c:v>
                </c:pt>
                <c:pt idx="6">
                  <c:v>0.02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C-4355-BF53-C171B25697B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'18.06'!$L$2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'18.06'!$B$3:$B$10</c:f>
              <c:strCache>
                <c:ptCount val="8"/>
                <c:pt idx="0">
                  <c:v>89 MALL Hair spa</c:v>
                </c:pt>
                <c:pt idx="1">
                  <c:v>Sabah Al Salam</c:v>
                </c:pt>
                <c:pt idx="2">
                  <c:v>89 MALL</c:v>
                </c:pt>
                <c:pt idx="3">
                  <c:v>Kefan</c:v>
                </c:pt>
                <c:pt idx="4">
                  <c:v>Qurtuba 1</c:v>
                </c:pt>
                <c:pt idx="5">
                  <c:v>Saad Abdulla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'18.06'!$L$3:$L$10</c:f>
              <c:numCache>
                <c:formatCode>0.00%</c:formatCode>
                <c:ptCount val="8"/>
                <c:pt idx="0">
                  <c:v>0.4</c:v>
                </c:pt>
                <c:pt idx="1">
                  <c:v>0.27360000000000001</c:v>
                </c:pt>
                <c:pt idx="2">
                  <c:v>0.21049999999999999</c:v>
                </c:pt>
                <c:pt idx="3">
                  <c:v>0.16669999999999999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5.7099999999999998E-2</c:v>
                </c:pt>
                <c:pt idx="7">
                  <c:v>4.3499999999999997E-2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A-47B0-B64B-768520F091B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'19.06'!$L$2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'19.06'!$B$3:$B$10</c:f>
              <c:strCache>
                <c:ptCount val="8"/>
                <c:pt idx="0">
                  <c:v>Sabah Al Salam</c:v>
                </c:pt>
                <c:pt idx="1">
                  <c:v>89 MALL Hair spa</c:v>
                </c:pt>
                <c:pt idx="2">
                  <c:v>Qurtuba 1</c:v>
                </c:pt>
                <c:pt idx="3">
                  <c:v>Saad Abdulla</c:v>
                </c:pt>
                <c:pt idx="4">
                  <c:v>Dasman</c:v>
                </c:pt>
                <c:pt idx="5">
                  <c:v>Kefan</c:v>
                </c:pt>
                <c:pt idx="6">
                  <c:v>89 MALL</c:v>
                </c:pt>
                <c:pt idx="7">
                  <c:v>Surra Block 3</c:v>
                </c:pt>
              </c:strCache>
            </c:strRef>
          </c:cat>
          <c:val>
            <c:numRef>
              <c:f>'19.06'!$L$3:$L$10</c:f>
              <c:numCache>
                <c:formatCode>0.00%</c:formatCode>
                <c:ptCount val="8"/>
                <c:pt idx="0">
                  <c:v>0.3982</c:v>
                </c:pt>
                <c:pt idx="1">
                  <c:v>0.2727</c:v>
                </c:pt>
                <c:pt idx="2">
                  <c:v>0.24049999999999999</c:v>
                </c:pt>
                <c:pt idx="3">
                  <c:v>0.21879999999999999</c:v>
                </c:pt>
                <c:pt idx="4">
                  <c:v>0.2</c:v>
                </c:pt>
                <c:pt idx="5">
                  <c:v>0.1782</c:v>
                </c:pt>
                <c:pt idx="6">
                  <c:v>0.1087</c:v>
                </c:pt>
                <c:pt idx="7">
                  <c:v>5.1700000000000003E-2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A-4F12-BE21-3AAFC9399D4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'20.06'!$L$2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'20.06'!$B$3:$B$10</c:f>
              <c:strCache>
                <c:ptCount val="8"/>
                <c:pt idx="0">
                  <c:v>Sabah Al Salam</c:v>
                </c:pt>
                <c:pt idx="1">
                  <c:v>89 MALL Hair spa</c:v>
                </c:pt>
                <c:pt idx="2">
                  <c:v>Dasman</c:v>
                </c:pt>
                <c:pt idx="3">
                  <c:v>Kefan</c:v>
                </c:pt>
                <c:pt idx="4">
                  <c:v>89 MALL</c:v>
                </c:pt>
                <c:pt idx="5">
                  <c:v>Qurtuba 1</c:v>
                </c:pt>
                <c:pt idx="6">
                  <c:v>Saad Abdulla</c:v>
                </c:pt>
                <c:pt idx="7">
                  <c:v>Surra Block 3</c:v>
                </c:pt>
              </c:strCache>
            </c:strRef>
          </c:cat>
          <c:val>
            <c:numRef>
              <c:f>'20.06'!$L$3:$L$10</c:f>
              <c:numCache>
                <c:formatCode>0.00%</c:formatCode>
                <c:ptCount val="8"/>
                <c:pt idx="0">
                  <c:v>0.44779999999999998</c:v>
                </c:pt>
                <c:pt idx="1">
                  <c:v>0.30769999999999997</c:v>
                </c:pt>
                <c:pt idx="2">
                  <c:v>0.2059</c:v>
                </c:pt>
                <c:pt idx="3">
                  <c:v>0.17499999999999999</c:v>
                </c:pt>
                <c:pt idx="4">
                  <c:v>0.15909999999999999</c:v>
                </c:pt>
                <c:pt idx="5">
                  <c:v>0.1358</c:v>
                </c:pt>
                <c:pt idx="6">
                  <c:v>0.13039999999999999</c:v>
                </c:pt>
                <c:pt idx="7">
                  <c:v>4.2599999999999999E-2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14-4DCA-B1B0-E00E4513F8B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'21.06'!$L$2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'21.06'!$B$3:$B$10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89 MALL Hair spa</c:v>
                </c:pt>
                <c:pt idx="3">
                  <c:v>Kefan</c:v>
                </c:pt>
                <c:pt idx="4">
                  <c:v>Qurtuba 1</c:v>
                </c:pt>
                <c:pt idx="5">
                  <c:v>Surra Block 3</c:v>
                </c:pt>
                <c:pt idx="6">
                  <c:v>Dasman</c:v>
                </c:pt>
                <c:pt idx="7">
                  <c:v>89 MALL</c:v>
                </c:pt>
              </c:strCache>
            </c:strRef>
          </c:cat>
          <c:val>
            <c:numRef>
              <c:f>'21.06'!$L$3:$L$10</c:f>
              <c:numCache>
                <c:formatCode>0.00%</c:formatCode>
                <c:ptCount val="8"/>
                <c:pt idx="0">
                  <c:v>0.32690000000000002</c:v>
                </c:pt>
                <c:pt idx="1">
                  <c:v>0.2</c:v>
                </c:pt>
                <c:pt idx="2">
                  <c:v>0.16669999999999999</c:v>
                </c:pt>
                <c:pt idx="3">
                  <c:v>0.1429</c:v>
                </c:pt>
                <c:pt idx="4">
                  <c:v>0.10589999999999999</c:v>
                </c:pt>
                <c:pt idx="5">
                  <c:v>5.8799999999999998E-2</c:v>
                </c:pt>
                <c:pt idx="6">
                  <c:v>4.65E-2</c:v>
                </c:pt>
                <c:pt idx="7">
                  <c:v>4.3499999999999997E-2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6-4D23-8734-D4844DEA2EE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'22.06'!$L$2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'22.06'!$B$3:$B$10</c:f>
              <c:strCache>
                <c:ptCount val="8"/>
                <c:pt idx="0">
                  <c:v>Sabah Al Salam</c:v>
                </c:pt>
                <c:pt idx="1">
                  <c:v>89 MALL Hair spa</c:v>
                </c:pt>
                <c:pt idx="2">
                  <c:v>Dasman</c:v>
                </c:pt>
                <c:pt idx="3">
                  <c:v>Qurtuba 1</c:v>
                </c:pt>
                <c:pt idx="4">
                  <c:v>Kefan</c:v>
                </c:pt>
                <c:pt idx="5">
                  <c:v>89 MALL</c:v>
                </c:pt>
                <c:pt idx="6">
                  <c:v>Saad Abdulla</c:v>
                </c:pt>
                <c:pt idx="7">
                  <c:v>Surra Block 3</c:v>
                </c:pt>
              </c:strCache>
            </c:strRef>
          </c:cat>
          <c:val>
            <c:numRef>
              <c:f>'22.06'!$L$3:$L$10</c:f>
              <c:numCache>
                <c:formatCode>0.00%</c:formatCode>
                <c:ptCount val="8"/>
                <c:pt idx="0">
                  <c:v>0.57999999999999996</c:v>
                </c:pt>
                <c:pt idx="1">
                  <c:v>0.27779999999999999</c:v>
                </c:pt>
                <c:pt idx="2">
                  <c:v>0.26669999999999999</c:v>
                </c:pt>
                <c:pt idx="3">
                  <c:v>0.2</c:v>
                </c:pt>
                <c:pt idx="4">
                  <c:v>0.1948</c:v>
                </c:pt>
                <c:pt idx="5">
                  <c:v>0.1212</c:v>
                </c:pt>
                <c:pt idx="6">
                  <c:v>6.9000000000000006E-2</c:v>
                </c:pt>
                <c:pt idx="7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32-4728-A404-2AD47492FEA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'23.06'!$L$2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'23.06'!$B$3:$B$10</c:f>
              <c:strCache>
                <c:ptCount val="8"/>
                <c:pt idx="0">
                  <c:v>Sabah Al Salam</c:v>
                </c:pt>
                <c:pt idx="1">
                  <c:v>89 MALL</c:v>
                </c:pt>
                <c:pt idx="2">
                  <c:v>Kefan</c:v>
                </c:pt>
                <c:pt idx="3">
                  <c:v>Qurtuba 1</c:v>
                </c:pt>
                <c:pt idx="4">
                  <c:v>Saad Abdulla</c:v>
                </c:pt>
                <c:pt idx="5">
                  <c:v>89 MALL Hair spa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'23.06'!$L$3:$L$10</c:f>
              <c:numCache>
                <c:formatCode>0.00%</c:formatCode>
                <c:ptCount val="8"/>
                <c:pt idx="0">
                  <c:v>0.44640000000000002</c:v>
                </c:pt>
                <c:pt idx="1">
                  <c:v>0.40820000000000001</c:v>
                </c:pt>
                <c:pt idx="2">
                  <c:v>0.33639999999999998</c:v>
                </c:pt>
                <c:pt idx="3">
                  <c:v>0.3276</c:v>
                </c:pt>
                <c:pt idx="4">
                  <c:v>0.23810000000000001</c:v>
                </c:pt>
                <c:pt idx="5">
                  <c:v>0.23080000000000001</c:v>
                </c:pt>
                <c:pt idx="6">
                  <c:v>0.17069999999999999</c:v>
                </c:pt>
                <c:pt idx="7">
                  <c:v>4.8399999999999999E-2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5-4081-955F-1410AD6E9A3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'24.06'!$L$2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'24.06'!$B$3:$B$10</c:f>
              <c:strCache>
                <c:ptCount val="8"/>
                <c:pt idx="0">
                  <c:v>Qurtuba 1</c:v>
                </c:pt>
                <c:pt idx="1">
                  <c:v>Sabah Al Salam</c:v>
                </c:pt>
                <c:pt idx="2">
                  <c:v>Kefan</c:v>
                </c:pt>
                <c:pt idx="3">
                  <c:v>89 MALL</c:v>
                </c:pt>
                <c:pt idx="4">
                  <c:v>Saad Abdulla</c:v>
                </c:pt>
                <c:pt idx="5">
                  <c:v>89 MALL Hair spa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'24.06'!$L$3:$L$10</c:f>
              <c:numCache>
                <c:formatCode>0.00%</c:formatCode>
                <c:ptCount val="8"/>
                <c:pt idx="0">
                  <c:v>0.35709999999999997</c:v>
                </c:pt>
                <c:pt idx="1">
                  <c:v>0.35260000000000002</c:v>
                </c:pt>
                <c:pt idx="2">
                  <c:v>0.26219999999999999</c:v>
                </c:pt>
                <c:pt idx="3">
                  <c:v>0.23530000000000001</c:v>
                </c:pt>
                <c:pt idx="4">
                  <c:v>0.22539999999999999</c:v>
                </c:pt>
                <c:pt idx="5">
                  <c:v>0.18179999999999999</c:v>
                </c:pt>
                <c:pt idx="6">
                  <c:v>0.17499999999999999</c:v>
                </c:pt>
                <c:pt idx="7">
                  <c:v>4.48E-2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D-4802-AF7D-C9157D493E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'25.06'!$L$2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'25.06'!$B$3:$B$10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Kefan</c:v>
                </c:pt>
                <c:pt idx="3">
                  <c:v>89 MALL Hair spa</c:v>
                </c:pt>
                <c:pt idx="4">
                  <c:v>89 MALL</c:v>
                </c:pt>
                <c:pt idx="5">
                  <c:v>Dasman</c:v>
                </c:pt>
                <c:pt idx="6">
                  <c:v>Qurtuba 1</c:v>
                </c:pt>
                <c:pt idx="7">
                  <c:v>Surra Block 3</c:v>
                </c:pt>
              </c:strCache>
            </c:strRef>
          </c:cat>
          <c:val>
            <c:numRef>
              <c:f>'25.06'!$L$3:$L$10</c:f>
              <c:numCache>
                <c:formatCode>0.00%</c:formatCode>
                <c:ptCount val="8"/>
                <c:pt idx="0">
                  <c:v>0.73650000000000004</c:v>
                </c:pt>
                <c:pt idx="1">
                  <c:v>0.4965</c:v>
                </c:pt>
                <c:pt idx="2">
                  <c:v>0.42930000000000001</c:v>
                </c:pt>
                <c:pt idx="3">
                  <c:v>0.375</c:v>
                </c:pt>
                <c:pt idx="4">
                  <c:v>0.3256</c:v>
                </c:pt>
                <c:pt idx="5">
                  <c:v>0.23880000000000001</c:v>
                </c:pt>
                <c:pt idx="6">
                  <c:v>0.1797</c:v>
                </c:pt>
                <c:pt idx="7">
                  <c:v>0.16420000000000001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8-4302-BA16-C859FCDE53F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'26.06'!$L$2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'26.06'!$B$3:$B$10</c:f>
              <c:strCache>
                <c:ptCount val="8"/>
                <c:pt idx="0">
                  <c:v>Kefan</c:v>
                </c:pt>
                <c:pt idx="1">
                  <c:v>Saad Abdulla</c:v>
                </c:pt>
                <c:pt idx="2">
                  <c:v>Sabah Al Salam</c:v>
                </c:pt>
                <c:pt idx="3">
                  <c:v>89 MALL</c:v>
                </c:pt>
                <c:pt idx="4">
                  <c:v>Qurtuba 1</c:v>
                </c:pt>
                <c:pt idx="5">
                  <c:v>89 MALL Hair spa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'26.06'!$L$3:$L$10</c:f>
              <c:numCache>
                <c:formatCode>0.00%</c:formatCode>
                <c:ptCount val="8"/>
                <c:pt idx="0">
                  <c:v>0.69730000000000003</c:v>
                </c:pt>
                <c:pt idx="1">
                  <c:v>0.66080000000000005</c:v>
                </c:pt>
                <c:pt idx="2">
                  <c:v>0.58250000000000002</c:v>
                </c:pt>
                <c:pt idx="3">
                  <c:v>0.52139999999999997</c:v>
                </c:pt>
                <c:pt idx="4">
                  <c:v>0.28810000000000002</c:v>
                </c:pt>
                <c:pt idx="5">
                  <c:v>0.2069</c:v>
                </c:pt>
                <c:pt idx="6">
                  <c:v>0.18970000000000001</c:v>
                </c:pt>
                <c:pt idx="7">
                  <c:v>8.6199999999999999E-2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D3-4577-89A0-F2DF784C6A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'27.06'!$L$2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'27.06'!$B$3:$B$10</c:f>
              <c:strCache>
                <c:ptCount val="8"/>
                <c:pt idx="0">
                  <c:v>Saad Abdulla</c:v>
                </c:pt>
                <c:pt idx="1">
                  <c:v>89 MALL</c:v>
                </c:pt>
                <c:pt idx="2">
                  <c:v>Sabah Al Salam</c:v>
                </c:pt>
                <c:pt idx="3">
                  <c:v>Dasman</c:v>
                </c:pt>
                <c:pt idx="4">
                  <c:v>Kefan</c:v>
                </c:pt>
                <c:pt idx="5">
                  <c:v>89 MALL Hair spa</c:v>
                </c:pt>
                <c:pt idx="6">
                  <c:v>Qurtuba 1</c:v>
                </c:pt>
                <c:pt idx="7">
                  <c:v>Surra Block 3</c:v>
                </c:pt>
              </c:strCache>
            </c:strRef>
          </c:cat>
          <c:val>
            <c:numRef>
              <c:f>'27.06'!$L$3:$L$10</c:f>
              <c:numCache>
                <c:formatCode>0.00%</c:formatCode>
                <c:ptCount val="8"/>
                <c:pt idx="0">
                  <c:v>0.67930000000000001</c:v>
                </c:pt>
                <c:pt idx="1">
                  <c:v>0.56630000000000003</c:v>
                </c:pt>
                <c:pt idx="2">
                  <c:v>0.47789999999999999</c:v>
                </c:pt>
                <c:pt idx="3">
                  <c:v>0.28120000000000001</c:v>
                </c:pt>
                <c:pt idx="4">
                  <c:v>0.23280000000000001</c:v>
                </c:pt>
                <c:pt idx="5">
                  <c:v>0.16669999999999999</c:v>
                </c:pt>
                <c:pt idx="6">
                  <c:v>0.1346</c:v>
                </c:pt>
                <c:pt idx="7">
                  <c:v>4.8800000000000003E-2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52-48E3-AC39-026CB7A132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'28.06'!$L$2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'28.06'!$B$3:$B$10</c:f>
              <c:strCache>
                <c:ptCount val="8"/>
                <c:pt idx="0">
                  <c:v>Saad Abdulla</c:v>
                </c:pt>
                <c:pt idx="1">
                  <c:v>89 MALL</c:v>
                </c:pt>
                <c:pt idx="2">
                  <c:v>Sabah Al Salam</c:v>
                </c:pt>
                <c:pt idx="3">
                  <c:v>Qurtuba 1</c:v>
                </c:pt>
                <c:pt idx="4">
                  <c:v>Kefan</c:v>
                </c:pt>
                <c:pt idx="5">
                  <c:v>Dasman</c:v>
                </c:pt>
                <c:pt idx="6">
                  <c:v>Surra Block 3</c:v>
                </c:pt>
                <c:pt idx="7">
                  <c:v>89 MALL Hair spa</c:v>
                </c:pt>
              </c:strCache>
            </c:strRef>
          </c:cat>
          <c:val>
            <c:numRef>
              <c:f>'28.06'!$L$3:$L$10</c:f>
              <c:numCache>
                <c:formatCode>0.00%</c:formatCode>
                <c:ptCount val="8"/>
                <c:pt idx="0">
                  <c:v>0.55830000000000002</c:v>
                </c:pt>
                <c:pt idx="1">
                  <c:v>0.44069999999999998</c:v>
                </c:pt>
                <c:pt idx="2">
                  <c:v>0.30359999999999998</c:v>
                </c:pt>
                <c:pt idx="3">
                  <c:v>0.26500000000000001</c:v>
                </c:pt>
                <c:pt idx="4">
                  <c:v>0.26319999999999999</c:v>
                </c:pt>
                <c:pt idx="5">
                  <c:v>0.17649999999999999</c:v>
                </c:pt>
                <c:pt idx="6">
                  <c:v>0.13730000000000001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12-4362-A40C-997D1434781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'29.06'!$L$2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'29.06'!$B$3:$B$10</c:f>
              <c:strCache>
                <c:ptCount val="8"/>
                <c:pt idx="0">
                  <c:v>Sabah Al Salam</c:v>
                </c:pt>
                <c:pt idx="1">
                  <c:v>Saad Abdulla</c:v>
                </c:pt>
                <c:pt idx="2">
                  <c:v>Qurtuba 1</c:v>
                </c:pt>
                <c:pt idx="3">
                  <c:v>89 MALL</c:v>
                </c:pt>
                <c:pt idx="4">
                  <c:v>Surra Block 3</c:v>
                </c:pt>
                <c:pt idx="5">
                  <c:v>Kefan</c:v>
                </c:pt>
                <c:pt idx="6">
                  <c:v>89 MALL Hair spa</c:v>
                </c:pt>
                <c:pt idx="7">
                  <c:v>Dasman</c:v>
                </c:pt>
              </c:strCache>
            </c:strRef>
          </c:cat>
          <c:val>
            <c:numRef>
              <c:f>'29.06'!$L$3:$L$10</c:f>
              <c:numCache>
                <c:formatCode>0.00%</c:formatCode>
                <c:ptCount val="8"/>
                <c:pt idx="0">
                  <c:v>0.59619999999999995</c:v>
                </c:pt>
                <c:pt idx="1">
                  <c:v>0.33329999999999999</c:v>
                </c:pt>
                <c:pt idx="2">
                  <c:v>0.29759999999999998</c:v>
                </c:pt>
                <c:pt idx="3">
                  <c:v>0.27029999999999998</c:v>
                </c:pt>
                <c:pt idx="4">
                  <c:v>0.22919999999999999</c:v>
                </c:pt>
                <c:pt idx="5">
                  <c:v>0.19320000000000001</c:v>
                </c:pt>
                <c:pt idx="6">
                  <c:v>0.16669999999999999</c:v>
                </c:pt>
                <c:pt idx="7">
                  <c:v>0.1351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88-4B63-91FF-0ECC0F530E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Missed &amp; Abandoned</a:t>
            </a:r>
          </a:p>
        </c:rich>
      </c:tx>
      <c:layout>
        <c:manualLayout>
          <c:xMode val="edge"/>
          <c:yMode val="edge"/>
          <c:x val="0.77886453558976765"/>
          <c:y val="2.57731871589999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406636579891543"/>
          <c:y val="0"/>
          <c:w val="0.66218384028258204"/>
          <c:h val="0.899567687850648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'30.06'!$L$2</c:f>
              <c:strCache>
                <c:ptCount val="1"/>
                <c:pt idx="0">
                  <c:v>Abandon Rate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'30.06'!$B$3:$B$10</c:f>
              <c:strCache>
                <c:ptCount val="8"/>
                <c:pt idx="0">
                  <c:v>Kefan</c:v>
                </c:pt>
                <c:pt idx="1">
                  <c:v>89 MALL</c:v>
                </c:pt>
                <c:pt idx="2">
                  <c:v>Saad Abdulla</c:v>
                </c:pt>
                <c:pt idx="3">
                  <c:v>Qurtuba 1</c:v>
                </c:pt>
                <c:pt idx="4">
                  <c:v>Sabah Al Salam</c:v>
                </c:pt>
                <c:pt idx="5">
                  <c:v>89 MALL Hair spa</c:v>
                </c:pt>
                <c:pt idx="6">
                  <c:v>Dasman</c:v>
                </c:pt>
                <c:pt idx="7">
                  <c:v>Surra Block 3</c:v>
                </c:pt>
              </c:strCache>
            </c:strRef>
          </c:cat>
          <c:val>
            <c:numRef>
              <c:f>'30.06'!$L$3:$L$10</c:f>
              <c:numCache>
                <c:formatCode>0.00%</c:formatCode>
                <c:ptCount val="8"/>
                <c:pt idx="0">
                  <c:v>0.47199999999999998</c:v>
                </c:pt>
                <c:pt idx="1">
                  <c:v>0.44679999999999997</c:v>
                </c:pt>
                <c:pt idx="2">
                  <c:v>0.42859999999999998</c:v>
                </c:pt>
                <c:pt idx="3">
                  <c:v>0.33650000000000002</c:v>
                </c:pt>
                <c:pt idx="4">
                  <c:v>0.2828</c:v>
                </c:pt>
                <c:pt idx="5">
                  <c:v>0.25929999999999997</c:v>
                </c:pt>
                <c:pt idx="6">
                  <c:v>0.19439999999999999</c:v>
                </c:pt>
                <c:pt idx="7">
                  <c:v>9.2999999999999999E-2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0-4BFB-A0C3-4E26CC12495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0162933"/>
        <c:axId val="801513083"/>
      </c:barChart>
      <c:catAx>
        <c:axId val="49016293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513083"/>
        <c:crosses val="autoZero"/>
        <c:auto val="1"/>
        <c:lblAlgn val="ctr"/>
        <c:lblOffset val="100"/>
        <c:noMultiLvlLbl val="0"/>
      </c:catAx>
      <c:valAx>
        <c:axId val="8015130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16293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CA642392-7576-4040-8026-4C0B6ECEC3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A7C2DD16-6855-4CE9-B505-0260BDABAA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590189BB-B8C0-4A6F-83E1-B2B4FEE57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CCED6CF0-751C-4DEC-A07F-7F1139B7D2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3CA3D6F8-D955-4C1E-BD55-1D83F6B3F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EA300E34-B7C7-4522-BE1F-B42F156BA7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180A6223-C55C-4A9E-A551-5C022D6226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55103B14-C441-4334-BDCF-860633954C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191521D5-D474-4886-ABE1-3FA6E434E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6B0B68EC-1AED-43CF-AD2A-E6300E3EF7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85CEF664-4F04-48DE-9D31-497F7F915B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6BFD47C2-77BC-432E-8FBE-A3F165EF4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A0B5A0BE-68F4-4322-84ED-D9202BA14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EE5618D6-F1A8-4F6F-A101-49D71C7D07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CA0C56F3-7235-4098-BF52-F7C869FD7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C4A42116-152B-4011-8DF0-05DCDBB2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31ED40C6-531D-469D-B398-42E2DB636B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32293A49-E0D5-4E69-812A-412D7C6ED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5D5ACDFB-86FE-42A1-9EC9-7260FB5D4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0AEDC597-6766-429C-98DE-20F0FBBF5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26AEA86E-DA80-48F6-8A95-1F375E379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9C0A3E64-2F35-40C9-AA22-55559AAB9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52C964A7-B52E-4EC4-BBA6-6A1DE177E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F8922D75-CD93-4F2A-BF5B-5E1D6E4326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D773A830-E632-4E0C-99B3-1FB0956E52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CA2CE7AD-9065-40CE-8C17-FEDC3EEDDC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8B43FC57-4923-4BF3-A7D8-FFC6D64C7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4D9461C8-CB38-4A29-9504-0B65FB2E4C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398C749A-5346-49E8-BC9A-C314FA926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413385</xdr:colOff>
      <xdr:row>28</xdr:row>
      <xdr:rowOff>144781</xdr:rowOff>
    </xdr:to>
    <xdr:graphicFrame macro="">
      <xdr:nvGraphicFramePr>
        <xdr:cNvPr id="2" name="图表 29">
          <a:extLst>
            <a:ext uri="{FF2B5EF4-FFF2-40B4-BE49-F238E27FC236}">
              <a16:creationId xmlns:a16="http://schemas.microsoft.com/office/drawing/2014/main" id="{94E3C74A-7771-401B-B4D6-792B7E98C2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E71F-4A04-4FEB-A829-C2B69571D700}">
  <dimension ref="A1:M13"/>
  <sheetViews>
    <sheetView workbookViewId="0">
      <selection activeCell="C12" sqref="C12:E12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x14ac:dyDescent="0.3">
      <c r="A3" s="4">
        <f>SUBTOTAL(3,$B$2:B3)-1</f>
        <v>1</v>
      </c>
      <c r="B3" s="4" t="s">
        <v>15</v>
      </c>
      <c r="C3" s="5">
        <v>198</v>
      </c>
      <c r="D3" s="5">
        <v>143</v>
      </c>
      <c r="E3" s="5">
        <v>55</v>
      </c>
      <c r="F3" s="6">
        <v>1.1342592592592591E-3</v>
      </c>
      <c r="G3" s="6">
        <v>5.2083333333333333E-4</v>
      </c>
      <c r="H3" s="6">
        <v>7.6388888888888893E-4</v>
      </c>
      <c r="I3" s="6">
        <v>3.6342592592592594E-3</v>
      </c>
      <c r="J3" s="6">
        <v>6.018518518518519E-4</v>
      </c>
      <c r="K3" s="7">
        <v>0.2525</v>
      </c>
      <c r="L3" s="7">
        <v>0.74750000000000005</v>
      </c>
      <c r="M3" s="8">
        <v>0.27662330854656692</v>
      </c>
    </row>
    <row r="4" spans="1:13" ht="16.5" x14ac:dyDescent="0.3">
      <c r="A4" s="4">
        <f>SUBTOTAL(3,$B$2:B4)-1</f>
        <v>2</v>
      </c>
      <c r="B4" s="4" t="s">
        <v>13</v>
      </c>
      <c r="C4" s="5">
        <v>73</v>
      </c>
      <c r="D4" s="5">
        <v>62</v>
      </c>
      <c r="E4" s="5">
        <v>11</v>
      </c>
      <c r="F4" s="6">
        <v>1.2384259259259258E-3</v>
      </c>
      <c r="G4" s="6">
        <v>3.3564814814814812E-4</v>
      </c>
      <c r="H4" s="6">
        <v>5.5555555555555556E-4</v>
      </c>
      <c r="I4" s="6">
        <v>2.8819444444444444E-3</v>
      </c>
      <c r="J4" s="6">
        <v>9.0277777777777784E-4</v>
      </c>
      <c r="K4" s="7">
        <v>0.58899999999999997</v>
      </c>
      <c r="L4" s="7">
        <v>0.41099999999999998</v>
      </c>
      <c r="M4" s="8">
        <v>9.2931652925362637E-2</v>
      </c>
    </row>
    <row r="5" spans="1:13" ht="16.5" x14ac:dyDescent="0.3">
      <c r="A5" s="4">
        <f>SUBTOTAL(3,$B$2:B5)-1</f>
        <v>3</v>
      </c>
      <c r="B5" s="4" t="s">
        <v>14</v>
      </c>
      <c r="C5" s="5">
        <v>115</v>
      </c>
      <c r="D5" s="5">
        <v>99</v>
      </c>
      <c r="E5" s="5">
        <v>16</v>
      </c>
      <c r="F5" s="6">
        <v>1.2384259259259258E-3</v>
      </c>
      <c r="G5" s="6">
        <v>3.4722222222222224E-4</v>
      </c>
      <c r="H5" s="6">
        <v>5.6712962962962956E-4</v>
      </c>
      <c r="I5" s="6">
        <v>4.1319444444444442E-3</v>
      </c>
      <c r="J5" s="6">
        <v>8.9120370370370362E-4</v>
      </c>
      <c r="K5" s="7">
        <v>0.59130000000000005</v>
      </c>
      <c r="L5" s="7">
        <v>0.40870000000000001</v>
      </c>
      <c r="M5" s="8">
        <v>0.19108275485064288</v>
      </c>
    </row>
    <row r="6" spans="1:13" ht="16.5" x14ac:dyDescent="0.3">
      <c r="A6" s="4">
        <f>SUBTOTAL(3,$B$2:B6)-1</f>
        <v>4</v>
      </c>
      <c r="B6" s="4" t="s">
        <v>16</v>
      </c>
      <c r="C6" s="5">
        <v>51</v>
      </c>
      <c r="D6" s="5">
        <v>41</v>
      </c>
      <c r="E6" s="5">
        <v>10</v>
      </c>
      <c r="F6" s="6">
        <v>1.4004629629629629E-3</v>
      </c>
      <c r="G6" s="6">
        <v>2.6620370370370372E-4</v>
      </c>
      <c r="H6" s="6">
        <v>4.3981481481481481E-4</v>
      </c>
      <c r="I6" s="6">
        <v>1.6550925925925926E-3</v>
      </c>
      <c r="J6" s="6">
        <v>1.1226851851851851E-3</v>
      </c>
      <c r="K6" s="7">
        <v>0.64710000000000001</v>
      </c>
      <c r="L6" s="7">
        <v>0.35289999999999999</v>
      </c>
      <c r="M6" s="8">
        <v>0.13228345277409595</v>
      </c>
    </row>
    <row r="7" spans="1:13" ht="16.5" x14ac:dyDescent="0.3">
      <c r="A7" s="4">
        <f>SUBTOTAL(3,$B$2:B7)-1</f>
        <v>5</v>
      </c>
      <c r="B7" s="4" t="s">
        <v>19</v>
      </c>
      <c r="C7" s="5">
        <v>86</v>
      </c>
      <c r="D7" s="5">
        <v>82</v>
      </c>
      <c r="E7" s="5">
        <v>4</v>
      </c>
      <c r="F7" s="6">
        <v>9.1435185185185185E-4</v>
      </c>
      <c r="G7" s="6">
        <v>1.1574074074074073E-4</v>
      </c>
      <c r="H7" s="6">
        <v>1.7361111111111112E-4</v>
      </c>
      <c r="I7" s="6">
        <v>1.1574074074074073E-3</v>
      </c>
      <c r="J7" s="6">
        <v>7.8703703703703705E-4</v>
      </c>
      <c r="K7" s="7">
        <v>0.89529999999999998</v>
      </c>
      <c r="L7" s="7">
        <v>0.1047</v>
      </c>
      <c r="M7" s="8">
        <v>0.13445510300361693</v>
      </c>
    </row>
    <row r="8" spans="1:13" ht="16.5" x14ac:dyDescent="0.3">
      <c r="A8" s="4">
        <f>SUBTOTAL(3,$B$2:B8)-1</f>
        <v>6</v>
      </c>
      <c r="B8" s="4" t="s">
        <v>17</v>
      </c>
      <c r="C8" s="5">
        <v>29</v>
      </c>
      <c r="D8" s="5">
        <v>28</v>
      </c>
      <c r="E8" s="5">
        <v>1</v>
      </c>
      <c r="F8" s="6">
        <v>7.8703703703703705E-4</v>
      </c>
      <c r="G8" s="6">
        <v>6.9444444444444444E-5</v>
      </c>
      <c r="H8" s="6">
        <v>8.1018518518518516E-5</v>
      </c>
      <c r="I8" s="6">
        <v>5.4398148148148144E-4</v>
      </c>
      <c r="J8" s="6">
        <v>7.0601851851851847E-4</v>
      </c>
      <c r="K8" s="7">
        <v>0.89659999999999995</v>
      </c>
      <c r="L8" s="7">
        <v>0.10340000000000001</v>
      </c>
      <c r="M8" s="8">
        <v>2.8695736825945978E-2</v>
      </c>
    </row>
    <row r="9" spans="1:13" ht="16.5" x14ac:dyDescent="0.3">
      <c r="A9" s="4">
        <f>SUBTOTAL(3,$B$2:B9)-1</f>
        <v>7</v>
      </c>
      <c r="B9" s="4" t="s">
        <v>18</v>
      </c>
      <c r="C9" s="5">
        <v>60</v>
      </c>
      <c r="D9" s="5">
        <v>59</v>
      </c>
      <c r="E9" s="5">
        <v>1</v>
      </c>
      <c r="F9" s="6">
        <v>5.0925925925925921E-4</v>
      </c>
      <c r="G9" s="6">
        <v>5.7870370370370366E-5</v>
      </c>
      <c r="H9" s="6">
        <v>1.0416666666666667E-4</v>
      </c>
      <c r="I9" s="6">
        <v>1.0069444444444444E-3</v>
      </c>
      <c r="J9" s="6">
        <v>4.5138888888888892E-4</v>
      </c>
      <c r="K9" s="7">
        <v>0.9</v>
      </c>
      <c r="L9" s="7">
        <v>0.1</v>
      </c>
      <c r="M9" s="8">
        <v>7.0204210006065651E-2</v>
      </c>
    </row>
    <row r="10" spans="1:13" ht="16.5" x14ac:dyDescent="0.3">
      <c r="A10" s="4">
        <f>SUBTOTAL(3,$B$2:B10)-1</f>
        <v>8</v>
      </c>
      <c r="B10" s="4" t="s">
        <v>20</v>
      </c>
      <c r="C10" s="5">
        <v>8</v>
      </c>
      <c r="D10" s="5">
        <v>8</v>
      </c>
      <c r="E10" s="5">
        <v>0</v>
      </c>
      <c r="F10" s="6">
        <v>7.407407407407407E-4</v>
      </c>
      <c r="G10" s="6">
        <v>1.0416666666666667E-4</v>
      </c>
      <c r="H10" s="6">
        <v>1.0416666666666667E-4</v>
      </c>
      <c r="I10" s="6">
        <v>4.8611111111111104E-4</v>
      </c>
      <c r="J10" s="6">
        <v>6.3657407407407402E-4</v>
      </c>
      <c r="K10" s="7">
        <v>1</v>
      </c>
      <c r="L10" s="7">
        <v>0</v>
      </c>
      <c r="M10" s="8">
        <v>7.3723781067703067E-2</v>
      </c>
    </row>
    <row r="11" spans="1:13" ht="16.5" x14ac:dyDescent="0.3">
      <c r="A11" s="4">
        <f>SUBTOTAL(3,$B$2:B11)-1</f>
        <v>9</v>
      </c>
      <c r="B11" s="4" t="s">
        <v>21</v>
      </c>
      <c r="C11" s="15">
        <v>45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620</v>
      </c>
      <c r="D13" s="12">
        <f>SUM(D3:D10)</f>
        <v>522</v>
      </c>
      <c r="E13" s="12">
        <f>SUM(E3:E10)</f>
        <v>98</v>
      </c>
      <c r="F13" s="11"/>
      <c r="G13" s="11"/>
      <c r="H13" s="11"/>
      <c r="I13" s="11"/>
      <c r="J13" s="11"/>
      <c r="K13" s="11"/>
      <c r="L13" s="11"/>
      <c r="M13" s="11"/>
    </row>
  </sheetData>
  <sortState ref="B3:L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D4DF-8A30-46FA-BAFF-2E57CC673A54}">
  <dimension ref="A1:M13"/>
  <sheetViews>
    <sheetView workbookViewId="0">
      <selection activeCell="M3" sqref="M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x14ac:dyDescent="0.3">
      <c r="A3" s="4">
        <f>SUBTOTAL(3,$B$2:B3)-1</f>
        <v>1</v>
      </c>
      <c r="B3" s="4" t="s">
        <v>14</v>
      </c>
      <c r="C3" s="5">
        <v>134</v>
      </c>
      <c r="D3" s="5">
        <v>101</v>
      </c>
      <c r="E3" s="5">
        <v>33</v>
      </c>
      <c r="F3" s="6">
        <v>1.1805555555555556E-3</v>
      </c>
      <c r="G3" s="6">
        <v>3.1250000000000001E-4</v>
      </c>
      <c r="H3" s="6">
        <v>5.5555555555555556E-4</v>
      </c>
      <c r="I3" s="6">
        <v>3.2407407407407406E-3</v>
      </c>
      <c r="J3" s="6">
        <v>8.564814814814815E-4</v>
      </c>
      <c r="K3" s="7">
        <v>0.43280000000000002</v>
      </c>
      <c r="L3" s="7">
        <v>0.56720000000000004</v>
      </c>
      <c r="M3" s="8">
        <v>0.19243802949482272</v>
      </c>
    </row>
    <row r="4" spans="1:13" ht="16.5" x14ac:dyDescent="0.3">
      <c r="A4" s="4">
        <f>SUBTOTAL(3,$B$2:B4)-1</f>
        <v>2</v>
      </c>
      <c r="B4" s="4" t="s">
        <v>16</v>
      </c>
      <c r="C4" s="5">
        <v>72</v>
      </c>
      <c r="D4" s="5">
        <v>61</v>
      </c>
      <c r="E4" s="5">
        <v>11</v>
      </c>
      <c r="F4" s="6">
        <v>1.1458333333333333E-3</v>
      </c>
      <c r="G4" s="6">
        <v>3.5879629629629635E-4</v>
      </c>
      <c r="H4" s="6">
        <v>5.6712962962962956E-4</v>
      </c>
      <c r="I4" s="6">
        <v>2.2569444444444447E-3</v>
      </c>
      <c r="J4" s="6">
        <v>7.8703703703703705E-4</v>
      </c>
      <c r="K4" s="7">
        <v>0.44440000000000002</v>
      </c>
      <c r="L4" s="7">
        <v>0.55559999999999998</v>
      </c>
      <c r="M4" s="8">
        <v>0.19187323501725762</v>
      </c>
    </row>
    <row r="5" spans="1:13" ht="16.5" x14ac:dyDescent="0.3">
      <c r="A5" s="4">
        <f>SUBTOTAL(3,$B$2:B5)-1</f>
        <v>3</v>
      </c>
      <c r="B5" s="4" t="s">
        <v>15</v>
      </c>
      <c r="C5" s="5">
        <v>179</v>
      </c>
      <c r="D5" s="5">
        <v>150</v>
      </c>
      <c r="E5" s="5">
        <v>29</v>
      </c>
      <c r="F5" s="6">
        <v>8.9120370370370362E-4</v>
      </c>
      <c r="G5" s="6">
        <v>3.1250000000000001E-4</v>
      </c>
      <c r="H5" s="6">
        <v>4.7453703703703704E-4</v>
      </c>
      <c r="I5" s="6">
        <v>2.627314814814815E-3</v>
      </c>
      <c r="J5" s="6">
        <v>5.6712962962962956E-4</v>
      </c>
      <c r="K5" s="7">
        <v>0.51959999999999995</v>
      </c>
      <c r="L5" s="7">
        <v>0.48039999999999999</v>
      </c>
      <c r="M5" s="8">
        <v>0.21226859115155319</v>
      </c>
    </row>
    <row r="6" spans="1:13" ht="16.5" x14ac:dyDescent="0.3">
      <c r="A6" s="4">
        <f>SUBTOTAL(3,$B$2:B6)-1</f>
        <v>4</v>
      </c>
      <c r="B6" s="4" t="s">
        <v>19</v>
      </c>
      <c r="C6" s="5">
        <v>152</v>
      </c>
      <c r="D6" s="5">
        <v>126</v>
      </c>
      <c r="E6" s="5">
        <v>26</v>
      </c>
      <c r="F6" s="6">
        <v>9.1435185185185185E-4</v>
      </c>
      <c r="G6" s="6">
        <v>2.6620370370370372E-4</v>
      </c>
      <c r="H6" s="6">
        <v>4.7453703703703704E-4</v>
      </c>
      <c r="I6" s="6">
        <v>2.1759259259259258E-3</v>
      </c>
      <c r="J6" s="6">
        <v>6.4814814814814813E-4</v>
      </c>
      <c r="K6" s="7">
        <v>0.59209999999999996</v>
      </c>
      <c r="L6" s="7">
        <v>0.40789999999999998</v>
      </c>
      <c r="M6" s="8">
        <v>0.14678380922497647</v>
      </c>
    </row>
    <row r="7" spans="1:13" ht="16.5" x14ac:dyDescent="0.3">
      <c r="A7" s="4">
        <f>SUBTOTAL(3,$B$2:B7)-1</f>
        <v>5</v>
      </c>
      <c r="B7" s="4" t="s">
        <v>20</v>
      </c>
      <c r="C7" s="5">
        <v>38</v>
      </c>
      <c r="D7" s="5">
        <v>35</v>
      </c>
      <c r="E7" s="5">
        <v>3</v>
      </c>
      <c r="F7" s="6">
        <v>8.2175925925925917E-4</v>
      </c>
      <c r="G7" s="6">
        <v>1.9675925925925926E-4</v>
      </c>
      <c r="H7" s="6">
        <v>3.2407407407407406E-4</v>
      </c>
      <c r="I7" s="6">
        <v>1.3310185185185185E-3</v>
      </c>
      <c r="J7" s="6">
        <v>6.2500000000000001E-4</v>
      </c>
      <c r="K7" s="7">
        <v>0.73680000000000001</v>
      </c>
      <c r="L7" s="7">
        <v>0.26319999999999999</v>
      </c>
      <c r="M7" s="8">
        <v>5.2086601819893316E-2</v>
      </c>
    </row>
    <row r="8" spans="1:13" ht="16.5" x14ac:dyDescent="0.3">
      <c r="A8" s="4">
        <f>SUBTOTAL(3,$B$2:B8)-1</f>
        <v>6</v>
      </c>
      <c r="B8" s="4" t="s">
        <v>13</v>
      </c>
      <c r="C8" s="5">
        <v>76</v>
      </c>
      <c r="D8" s="5">
        <v>73</v>
      </c>
      <c r="E8" s="5">
        <v>3</v>
      </c>
      <c r="F8" s="6">
        <v>1.0185185185185186E-3</v>
      </c>
      <c r="G8" s="6">
        <v>2.4305555555555552E-4</v>
      </c>
      <c r="H8" s="6">
        <v>2.7777777777777778E-4</v>
      </c>
      <c r="I8" s="6">
        <v>1.8171296296296297E-3</v>
      </c>
      <c r="J8" s="6">
        <v>7.7546296296296304E-4</v>
      </c>
      <c r="K8" s="7">
        <v>0.86839999999999995</v>
      </c>
      <c r="L8" s="7">
        <v>0.13159999999999999</v>
      </c>
      <c r="M8" s="8">
        <v>0.1125196109193599</v>
      </c>
    </row>
    <row r="9" spans="1:13" ht="16.5" x14ac:dyDescent="0.3">
      <c r="A9" s="4">
        <f>SUBTOTAL(3,$B$2:B9)-1</f>
        <v>7</v>
      </c>
      <c r="B9" s="4" t="s">
        <v>17</v>
      </c>
      <c r="C9" s="5">
        <v>47</v>
      </c>
      <c r="D9" s="5">
        <v>45</v>
      </c>
      <c r="E9" s="5">
        <v>2</v>
      </c>
      <c r="F9" s="6">
        <v>7.291666666666667E-4</v>
      </c>
      <c r="G9" s="6">
        <v>1.3888888888888889E-4</v>
      </c>
      <c r="H9" s="6">
        <v>1.7361111111111112E-4</v>
      </c>
      <c r="I9" s="6">
        <v>9.8379629629629642E-4</v>
      </c>
      <c r="J9" s="6">
        <v>5.7870370370370378E-4</v>
      </c>
      <c r="K9" s="7">
        <v>0.87229999999999996</v>
      </c>
      <c r="L9" s="7">
        <v>0.12770000000000001</v>
      </c>
      <c r="M9" s="8">
        <v>4.4430498901788518E-2</v>
      </c>
    </row>
    <row r="10" spans="1:13" ht="16.5" x14ac:dyDescent="0.3">
      <c r="A10" s="4">
        <f>SUBTOTAL(3,$B$2:B10)-1</f>
        <v>8</v>
      </c>
      <c r="B10" s="4" t="s">
        <v>18</v>
      </c>
      <c r="C10" s="5">
        <v>68</v>
      </c>
      <c r="D10" s="5">
        <v>66</v>
      </c>
      <c r="E10" s="5">
        <v>2</v>
      </c>
      <c r="F10" s="6">
        <v>5.6712962962962956E-4</v>
      </c>
      <c r="G10" s="6">
        <v>1.0416666666666667E-4</v>
      </c>
      <c r="H10" s="6">
        <v>2.0833333333333335E-4</v>
      </c>
      <c r="I10" s="6">
        <v>3.1597222222222222E-3</v>
      </c>
      <c r="J10" s="6">
        <v>4.5138888888888892E-4</v>
      </c>
      <c r="K10" s="7">
        <v>0.88239999999999996</v>
      </c>
      <c r="L10" s="7">
        <v>0.1176</v>
      </c>
      <c r="M10" s="8">
        <v>4.7599623470348289E-2</v>
      </c>
    </row>
    <row r="11" spans="1:13" ht="16.5" x14ac:dyDescent="0.3">
      <c r="A11" s="4">
        <f>SUBTOTAL(3,$B$2:B11)-1</f>
        <v>9</v>
      </c>
      <c r="B11" s="4" t="s">
        <v>21</v>
      </c>
      <c r="C11" s="15">
        <v>46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10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766</v>
      </c>
      <c r="D13" s="12">
        <f>SUM(D3:D10)</f>
        <v>657</v>
      </c>
      <c r="E13" s="12">
        <f>SUM(E3:E10)</f>
        <v>109</v>
      </c>
      <c r="F13" s="11"/>
      <c r="G13" s="11"/>
      <c r="H13" s="11"/>
      <c r="I13" s="11"/>
      <c r="J13" s="11"/>
      <c r="K13" s="11"/>
      <c r="L13" s="11"/>
      <c r="M13" s="11"/>
    </row>
  </sheetData>
  <sortState ref="B3:L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B5E3-4C02-4E3E-9628-52D12B303A34}">
  <dimension ref="A1:M13"/>
  <sheetViews>
    <sheetView workbookViewId="0">
      <selection activeCell="B3" sqref="B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x14ac:dyDescent="0.3">
      <c r="A3" s="4">
        <f>SUBTOTAL(3,$B$2:B3)-1</f>
        <v>1</v>
      </c>
      <c r="B3" s="4" t="s">
        <v>16</v>
      </c>
      <c r="C3" s="5">
        <v>67</v>
      </c>
      <c r="D3" s="5">
        <v>51</v>
      </c>
      <c r="E3" s="5">
        <v>16</v>
      </c>
      <c r="F3" s="6">
        <v>1.0069444444444444E-3</v>
      </c>
      <c r="G3" s="6">
        <v>3.9351851851851852E-4</v>
      </c>
      <c r="H3" s="6">
        <v>4.7453703703703704E-4</v>
      </c>
      <c r="I3" s="6">
        <v>1.9791666666666668E-3</v>
      </c>
      <c r="J3" s="6">
        <v>6.134259259259259E-4</v>
      </c>
      <c r="K3" s="7">
        <v>0.62690000000000001</v>
      </c>
      <c r="L3" s="7">
        <v>0.37309999999999999</v>
      </c>
      <c r="M3" s="8">
        <v>0.17934605323576283</v>
      </c>
    </row>
    <row r="4" spans="1:13" ht="16.5" x14ac:dyDescent="0.3">
      <c r="A4" s="4">
        <f>SUBTOTAL(3,$B$2:B4)-1</f>
        <v>2</v>
      </c>
      <c r="B4" s="4" t="s">
        <v>15</v>
      </c>
      <c r="C4" s="5">
        <v>150</v>
      </c>
      <c r="D4" s="5">
        <v>123</v>
      </c>
      <c r="E4" s="5">
        <v>27</v>
      </c>
      <c r="F4" s="6">
        <v>9.4907407407407408E-4</v>
      </c>
      <c r="G4" s="6">
        <v>2.3148148148148146E-4</v>
      </c>
      <c r="H4" s="6">
        <v>3.8194444444444446E-4</v>
      </c>
      <c r="I4" s="6">
        <v>1.5162037037037036E-3</v>
      </c>
      <c r="J4" s="6">
        <v>7.175925925925927E-4</v>
      </c>
      <c r="K4" s="7">
        <v>0.64</v>
      </c>
      <c r="L4" s="7">
        <v>0.36</v>
      </c>
      <c r="M4" s="8">
        <v>0.19808619697356911</v>
      </c>
    </row>
    <row r="5" spans="1:13" ht="16.5" x14ac:dyDescent="0.3">
      <c r="A5" s="4">
        <f>SUBTOTAL(3,$B$2:B5)-1</f>
        <v>3</v>
      </c>
      <c r="B5" s="4" t="s">
        <v>13</v>
      </c>
      <c r="C5" s="5">
        <v>94</v>
      </c>
      <c r="D5" s="5">
        <v>79</v>
      </c>
      <c r="E5" s="5">
        <v>15</v>
      </c>
      <c r="F5" s="6">
        <v>1.4004629629629629E-3</v>
      </c>
      <c r="G5" s="6">
        <v>3.5879629629629635E-4</v>
      </c>
      <c r="H5" s="6">
        <v>5.2083333333333333E-4</v>
      </c>
      <c r="I5" s="6">
        <v>2.4189814814814816E-3</v>
      </c>
      <c r="J5" s="6">
        <v>1.0300925925925926E-3</v>
      </c>
      <c r="K5" s="7">
        <v>0.64890000000000003</v>
      </c>
      <c r="L5" s="7">
        <v>0.35110000000000002</v>
      </c>
      <c r="M5" s="8">
        <v>0.13024810250720453</v>
      </c>
    </row>
    <row r="6" spans="1:13" ht="16.5" x14ac:dyDescent="0.3">
      <c r="A6" s="4">
        <f>SUBTOTAL(3,$B$2:B6)-1</f>
        <v>4</v>
      </c>
      <c r="B6" s="4" t="s">
        <v>14</v>
      </c>
      <c r="C6" s="5">
        <v>147</v>
      </c>
      <c r="D6" s="5">
        <v>131</v>
      </c>
      <c r="E6" s="5">
        <v>16</v>
      </c>
      <c r="F6" s="6">
        <v>1.1921296296296296E-3</v>
      </c>
      <c r="G6" s="6">
        <v>1.8518518518518518E-4</v>
      </c>
      <c r="H6" s="6">
        <v>3.3564814814814812E-4</v>
      </c>
      <c r="I6" s="6">
        <v>1.736111111111111E-3</v>
      </c>
      <c r="J6" s="6">
        <v>9.9537037037037042E-4</v>
      </c>
      <c r="K6" s="7">
        <v>0.67349999999999999</v>
      </c>
      <c r="L6" s="7">
        <v>0.32650000000000001</v>
      </c>
      <c r="M6" s="8">
        <v>0.17910088033692573</v>
      </c>
    </row>
    <row r="7" spans="1:13" ht="16.5" x14ac:dyDescent="0.3">
      <c r="A7" s="4">
        <f>SUBTOTAL(3,$B$2:B7)-1</f>
        <v>5</v>
      </c>
      <c r="B7" s="4" t="s">
        <v>17</v>
      </c>
      <c r="C7" s="5">
        <v>56</v>
      </c>
      <c r="D7" s="5">
        <v>48</v>
      </c>
      <c r="E7" s="5">
        <v>8</v>
      </c>
      <c r="F7" s="6">
        <v>8.2175925925925917E-4</v>
      </c>
      <c r="G7" s="6">
        <v>1.0416666666666667E-4</v>
      </c>
      <c r="H7" s="6">
        <v>1.9675925925925926E-4</v>
      </c>
      <c r="I7" s="6">
        <v>1.2847222222222223E-3</v>
      </c>
      <c r="J7" s="6">
        <v>7.0601851851851847E-4</v>
      </c>
      <c r="K7" s="7">
        <v>0.71430000000000005</v>
      </c>
      <c r="L7" s="7">
        <v>0.28570000000000001</v>
      </c>
      <c r="M7" s="8">
        <v>4.3139002644958471E-2</v>
      </c>
    </row>
    <row r="8" spans="1:13" ht="16.5" x14ac:dyDescent="0.3">
      <c r="A8" s="4">
        <f>SUBTOTAL(3,$B$2:B8)-1</f>
        <v>6</v>
      </c>
      <c r="B8" s="4" t="s">
        <v>19</v>
      </c>
      <c r="C8" s="5">
        <v>157</v>
      </c>
      <c r="D8" s="5">
        <v>150</v>
      </c>
      <c r="E8" s="5">
        <v>7</v>
      </c>
      <c r="F8" s="6">
        <v>9.2592592592592585E-4</v>
      </c>
      <c r="G8" s="6">
        <v>1.8518518518518518E-4</v>
      </c>
      <c r="H8" s="6">
        <v>2.8935185185185189E-4</v>
      </c>
      <c r="I8" s="6">
        <v>2.9166666666666668E-3</v>
      </c>
      <c r="J8" s="6">
        <v>7.291666666666667E-4</v>
      </c>
      <c r="K8" s="7">
        <v>0.77710000000000001</v>
      </c>
      <c r="L8" s="7">
        <v>0.22289999999999999</v>
      </c>
      <c r="M8" s="8">
        <v>0.16221927183649043</v>
      </c>
    </row>
    <row r="9" spans="1:13" ht="16.5" x14ac:dyDescent="0.3">
      <c r="A9" s="4">
        <f>SUBTOTAL(3,$B$2:B9)-1</f>
        <v>7</v>
      </c>
      <c r="B9" s="4" t="s">
        <v>20</v>
      </c>
      <c r="C9" s="5">
        <v>11</v>
      </c>
      <c r="D9" s="5">
        <v>10</v>
      </c>
      <c r="E9" s="5">
        <v>1</v>
      </c>
      <c r="F9" s="6">
        <v>1.1458333333333333E-3</v>
      </c>
      <c r="G9" s="6">
        <v>2.6620370370370372E-4</v>
      </c>
      <c r="H9" s="6">
        <v>3.2407407407407406E-4</v>
      </c>
      <c r="I9" s="6">
        <v>9.7222222222222209E-4</v>
      </c>
      <c r="J9" s="6">
        <v>8.6805555555555551E-4</v>
      </c>
      <c r="K9" s="7">
        <v>0.81820000000000004</v>
      </c>
      <c r="L9" s="7">
        <v>0.18179999999999999</v>
      </c>
      <c r="M9" s="8">
        <v>5.7553299133791681E-2</v>
      </c>
    </row>
    <row r="10" spans="1:13" ht="16.5" x14ac:dyDescent="0.3">
      <c r="A10" s="4">
        <f>SUBTOTAL(3,$B$2:B10)-1</f>
        <v>8</v>
      </c>
      <c r="B10" s="4" t="s">
        <v>18</v>
      </c>
      <c r="C10" s="5">
        <v>57</v>
      </c>
      <c r="D10" s="5">
        <v>56</v>
      </c>
      <c r="E10" s="5">
        <v>1</v>
      </c>
      <c r="F10" s="6">
        <v>5.4398148148148144E-4</v>
      </c>
      <c r="G10" s="6">
        <v>9.2592592592592588E-5</v>
      </c>
      <c r="H10" s="6">
        <v>1.0416666666666667E-4</v>
      </c>
      <c r="I10" s="6">
        <v>7.6388888888888893E-4</v>
      </c>
      <c r="J10" s="6">
        <v>4.5138888888888892E-4</v>
      </c>
      <c r="K10" s="7">
        <v>0.98250000000000004</v>
      </c>
      <c r="L10" s="7">
        <v>1.7500000000000002E-2</v>
      </c>
      <c r="M10" s="8">
        <v>5.0307193331297149E-2</v>
      </c>
    </row>
    <row r="11" spans="1:13" ht="16.5" x14ac:dyDescent="0.3">
      <c r="A11" s="4">
        <f>SUBTOTAL(3,$B$2:B11)-1</f>
        <v>9</v>
      </c>
      <c r="B11" s="4" t="s">
        <v>21</v>
      </c>
      <c r="C11" s="15">
        <v>37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28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739</v>
      </c>
      <c r="D13" s="12">
        <f>SUM(D3:D10)</f>
        <v>648</v>
      </c>
      <c r="E13" s="12">
        <f>SUM(E3:E10)</f>
        <v>91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95EFC-9016-47C2-9E02-77846D46B8BA}">
  <dimension ref="A1:M13"/>
  <sheetViews>
    <sheetView workbookViewId="0">
      <selection activeCell="M3" sqref="M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283</v>
      </c>
      <c r="D3" s="5">
        <v>192</v>
      </c>
      <c r="E3" s="5">
        <v>91</v>
      </c>
      <c r="F3" s="6">
        <v>1.1689814814814816E-3</v>
      </c>
      <c r="G3" s="6">
        <v>5.3240740740740744E-4</v>
      </c>
      <c r="H3" s="6">
        <v>8.1018518518518516E-4</v>
      </c>
      <c r="I3" s="6">
        <v>4.9652777777777777E-3</v>
      </c>
      <c r="J3" s="6">
        <v>6.2500000000000001E-4</v>
      </c>
      <c r="K3" s="7">
        <v>0.23669999999999999</v>
      </c>
      <c r="L3" s="7">
        <v>0.76329999999999998</v>
      </c>
      <c r="M3" s="8">
        <v>0.25413128154746722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247</v>
      </c>
      <c r="D4" s="5">
        <v>164</v>
      </c>
      <c r="E4" s="5">
        <v>83</v>
      </c>
      <c r="F4" s="6">
        <v>1.7013888888888892E-3</v>
      </c>
      <c r="G4" s="6">
        <v>5.9027777777777778E-4</v>
      </c>
      <c r="H4" s="6">
        <v>9.2592592592592585E-4</v>
      </c>
      <c r="I4" s="6">
        <v>5.6944444444444438E-3</v>
      </c>
      <c r="J4" s="6">
        <v>1.1111111111111111E-3</v>
      </c>
      <c r="K4" s="7">
        <v>0.29549999999999998</v>
      </c>
      <c r="L4" s="7">
        <v>0.70450000000000002</v>
      </c>
      <c r="M4" s="8">
        <v>0.14134524855389402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218</v>
      </c>
      <c r="D5" s="5">
        <v>187</v>
      </c>
      <c r="E5" s="5">
        <v>31</v>
      </c>
      <c r="F5" s="6">
        <v>1.2847222222222223E-3</v>
      </c>
      <c r="G5" s="6">
        <v>3.3564814814814812E-4</v>
      </c>
      <c r="H5" s="6">
        <v>5.6712962962962956E-4</v>
      </c>
      <c r="I5" s="6">
        <v>3.5995370370370369E-3</v>
      </c>
      <c r="J5" s="6">
        <v>9.3750000000000007E-4</v>
      </c>
      <c r="K5" s="7">
        <v>0.51380000000000003</v>
      </c>
      <c r="L5" s="7">
        <v>0.48620000000000002</v>
      </c>
      <c r="M5" s="8">
        <v>0.13833731661927659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128</v>
      </c>
      <c r="D6" s="5">
        <v>106</v>
      </c>
      <c r="E6" s="5">
        <v>22</v>
      </c>
      <c r="F6" s="6">
        <v>1.0069444444444444E-3</v>
      </c>
      <c r="G6" s="6">
        <v>3.3564814814814812E-4</v>
      </c>
      <c r="H6" s="6">
        <v>5.3240740740740744E-4</v>
      </c>
      <c r="I6" s="6">
        <v>3.4953703703703705E-3</v>
      </c>
      <c r="J6" s="6">
        <v>6.7129629629629625E-4</v>
      </c>
      <c r="K6" s="7">
        <v>0.5625</v>
      </c>
      <c r="L6" s="7">
        <v>0.4375</v>
      </c>
      <c r="M6" s="8">
        <v>0.17383579415385875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212</v>
      </c>
      <c r="D7" s="5">
        <v>188</v>
      </c>
      <c r="E7" s="5">
        <v>24</v>
      </c>
      <c r="F7" s="6">
        <v>9.6064814814814808E-4</v>
      </c>
      <c r="G7" s="6">
        <v>1.9675925925925926E-4</v>
      </c>
      <c r="H7" s="6">
        <v>3.8194444444444446E-4</v>
      </c>
      <c r="I7" s="6">
        <v>1.8402777777777777E-3</v>
      </c>
      <c r="J7" s="6">
        <v>7.5231481481481471E-4</v>
      </c>
      <c r="K7" s="7">
        <v>0.58960000000000001</v>
      </c>
      <c r="L7" s="7">
        <v>0.41039999999999999</v>
      </c>
      <c r="M7" s="8">
        <v>0.13589224030707514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26</v>
      </c>
      <c r="D8" s="5">
        <v>21</v>
      </c>
      <c r="E8" s="5">
        <v>5</v>
      </c>
      <c r="F8" s="6">
        <v>7.9861111111111105E-4</v>
      </c>
      <c r="G8" s="6">
        <v>1.7361111111111112E-4</v>
      </c>
      <c r="H8" s="6">
        <v>3.8194444444444446E-4</v>
      </c>
      <c r="I8" s="6">
        <v>2.4768518518518516E-3</v>
      </c>
      <c r="J8" s="6">
        <v>6.134259259259259E-4</v>
      </c>
      <c r="K8" s="7">
        <v>0.73080000000000001</v>
      </c>
      <c r="L8" s="7">
        <v>0.26919999999999999</v>
      </c>
      <c r="M8" s="8">
        <v>4.5028449793278483E-2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119</v>
      </c>
      <c r="D9" s="5">
        <v>102</v>
      </c>
      <c r="E9" s="5">
        <v>17</v>
      </c>
      <c r="F9" s="6">
        <v>1.0763888888888889E-3</v>
      </c>
      <c r="G9" s="6">
        <v>2.199074074074074E-4</v>
      </c>
      <c r="H9" s="6">
        <v>2.7777777777777778E-4</v>
      </c>
      <c r="I9" s="6">
        <v>1.8981481481481482E-3</v>
      </c>
      <c r="J9" s="6">
        <v>8.449074074074075E-4</v>
      </c>
      <c r="K9" s="7">
        <v>0.75629999999999997</v>
      </c>
      <c r="L9" s="7">
        <v>0.2437</v>
      </c>
      <c r="M9" s="8">
        <v>4.9299067627693441E-2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105</v>
      </c>
      <c r="D10" s="5">
        <v>100</v>
      </c>
      <c r="E10" s="5">
        <v>5</v>
      </c>
      <c r="F10" s="6">
        <v>9.4907407407407408E-4</v>
      </c>
      <c r="G10" s="6">
        <v>1.273148148148148E-4</v>
      </c>
      <c r="H10" s="6">
        <v>1.7361111111111112E-4</v>
      </c>
      <c r="I10" s="6">
        <v>1.6087962962962963E-3</v>
      </c>
      <c r="J10" s="6">
        <v>8.2175925925925917E-4</v>
      </c>
      <c r="K10" s="7">
        <v>0.84760000000000002</v>
      </c>
      <c r="L10" s="7">
        <v>0.15240000000000001</v>
      </c>
      <c r="M10" s="8">
        <v>6.2130601397456367E-2</v>
      </c>
    </row>
    <row r="11" spans="1:13" ht="16.5" x14ac:dyDescent="0.3">
      <c r="A11" s="4">
        <f>SUBTOTAL(3,$B$2:B11)-1</f>
        <v>9</v>
      </c>
      <c r="B11" s="4" t="s">
        <v>21</v>
      </c>
      <c r="C11" s="15">
        <v>79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19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1338</v>
      </c>
      <c r="D13" s="12">
        <f>SUM(D3:D10)</f>
        <v>1060</v>
      </c>
      <c r="E13" s="12">
        <f>SUM(E3:E10)</f>
        <v>278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A05F7-F000-44BE-9143-D5DFB9A11CAD}">
  <dimension ref="A1:M13"/>
  <sheetViews>
    <sheetView workbookViewId="0">
      <selection activeCell="M3" sqref="M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13</v>
      </c>
      <c r="C3" s="5">
        <v>372</v>
      </c>
      <c r="D3" s="5">
        <v>209</v>
      </c>
      <c r="E3" s="5">
        <v>163</v>
      </c>
      <c r="F3" s="6">
        <v>1.712962962962963E-3</v>
      </c>
      <c r="G3" s="6">
        <v>7.0601851851851847E-4</v>
      </c>
      <c r="H3" s="6">
        <v>9.3750000000000007E-4</v>
      </c>
      <c r="I3" s="6">
        <v>6.0416666666666665E-3</v>
      </c>
      <c r="J3" s="6">
        <v>9.9537037037037042E-4</v>
      </c>
      <c r="K3" s="7">
        <v>0.1129</v>
      </c>
      <c r="L3" s="7">
        <v>0.8871</v>
      </c>
      <c r="M3" s="8">
        <v>0.12758063095876593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353</v>
      </c>
      <c r="D4" s="5">
        <v>237</v>
      </c>
      <c r="E4" s="5">
        <v>116</v>
      </c>
      <c r="F4" s="6">
        <v>1.1921296296296296E-3</v>
      </c>
      <c r="G4" s="6">
        <v>4.9768518518518521E-4</v>
      </c>
      <c r="H4" s="6">
        <v>8.2175925925925917E-4</v>
      </c>
      <c r="I4" s="6">
        <v>6.3888888888888884E-3</v>
      </c>
      <c r="J4" s="6">
        <v>6.9444444444444447E-4</v>
      </c>
      <c r="K4" s="7">
        <v>0.17280000000000001</v>
      </c>
      <c r="L4" s="7">
        <v>0.82720000000000005</v>
      </c>
      <c r="M4" s="8">
        <v>0.24537507704869477</v>
      </c>
    </row>
    <row r="5" spans="1:13" ht="16.5" customHeight="1" x14ac:dyDescent="0.3">
      <c r="A5" s="4">
        <f>SUBTOTAL(3,$B$2:B5)-1</f>
        <v>3</v>
      </c>
      <c r="B5" s="4" t="s">
        <v>16</v>
      </c>
      <c r="C5" s="5">
        <v>164</v>
      </c>
      <c r="D5" s="5">
        <v>105</v>
      </c>
      <c r="E5" s="5">
        <v>59</v>
      </c>
      <c r="F5" s="6">
        <v>1.0416666666666667E-3</v>
      </c>
      <c r="G5" s="6">
        <v>4.7453703703703704E-4</v>
      </c>
      <c r="H5" s="6">
        <v>8.3333333333333339E-4</v>
      </c>
      <c r="I5" s="6">
        <v>8.0324074074074065E-3</v>
      </c>
      <c r="J5" s="6">
        <v>5.6712962962962956E-4</v>
      </c>
      <c r="K5" s="7">
        <v>0.33539999999999998</v>
      </c>
      <c r="L5" s="7">
        <v>0.66459999999999997</v>
      </c>
      <c r="M5" s="8">
        <v>0.15391727571825392</v>
      </c>
    </row>
    <row r="6" spans="1:13" ht="16.5" customHeight="1" x14ac:dyDescent="0.3">
      <c r="A6" s="4">
        <f>SUBTOTAL(3,$B$2:B6)-1</f>
        <v>4</v>
      </c>
      <c r="B6" s="4" t="s">
        <v>20</v>
      </c>
      <c r="C6" s="5">
        <v>39</v>
      </c>
      <c r="D6" s="5">
        <v>33</v>
      </c>
      <c r="E6" s="5">
        <v>6</v>
      </c>
      <c r="F6" s="6">
        <v>7.6388888888888893E-4</v>
      </c>
      <c r="G6" s="6">
        <v>1.3888888888888889E-4</v>
      </c>
      <c r="H6" s="6">
        <v>3.0092592592592595E-4</v>
      </c>
      <c r="I6" s="6">
        <v>1.261574074074074E-3</v>
      </c>
      <c r="J6" s="6">
        <v>6.134259259259259E-4</v>
      </c>
      <c r="K6" s="7">
        <v>0.64100000000000001</v>
      </c>
      <c r="L6" s="7">
        <v>0.35899999999999999</v>
      </c>
      <c r="M6" s="8">
        <v>5.7316223853475394E-2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214</v>
      </c>
      <c r="D7" s="5">
        <v>197</v>
      </c>
      <c r="E7" s="5">
        <v>17</v>
      </c>
      <c r="F7" s="6">
        <v>8.3333333333333339E-4</v>
      </c>
      <c r="G7" s="6">
        <v>1.7361111111111112E-4</v>
      </c>
      <c r="H7" s="6">
        <v>3.4722222222222224E-4</v>
      </c>
      <c r="I7" s="6">
        <v>3.2060185185185191E-3</v>
      </c>
      <c r="J7" s="6">
        <v>6.4814814814814813E-4</v>
      </c>
      <c r="K7" s="7">
        <v>0.7056</v>
      </c>
      <c r="L7" s="7">
        <v>0.2944</v>
      </c>
      <c r="M7" s="8">
        <v>0.13498531071637274</v>
      </c>
    </row>
    <row r="8" spans="1:13" ht="16.5" customHeight="1" x14ac:dyDescent="0.3">
      <c r="A8" s="4">
        <f>SUBTOTAL(3,$B$2:B8)-1</f>
        <v>6</v>
      </c>
      <c r="B8" s="4" t="s">
        <v>18</v>
      </c>
      <c r="C8" s="5">
        <v>167</v>
      </c>
      <c r="D8" s="5">
        <v>155</v>
      </c>
      <c r="E8" s="5">
        <v>12</v>
      </c>
      <c r="F8" s="6">
        <v>9.1435185185185185E-4</v>
      </c>
      <c r="G8" s="6">
        <v>1.6203703703703703E-4</v>
      </c>
      <c r="H8" s="6">
        <v>2.6620370370370372E-4</v>
      </c>
      <c r="I8" s="6">
        <v>1.423611111111111E-3</v>
      </c>
      <c r="J8" s="6">
        <v>7.407407407407407E-4</v>
      </c>
      <c r="K8" s="7">
        <v>0.76049999999999995</v>
      </c>
      <c r="L8" s="7">
        <v>0.23949999999999999</v>
      </c>
      <c r="M8" s="8">
        <v>8.4333298644743482E-2</v>
      </c>
    </row>
    <row r="9" spans="1:13" ht="16.5" customHeight="1" x14ac:dyDescent="0.3">
      <c r="A9" s="4">
        <f>SUBTOTAL(3,$B$2:B9)-1</f>
        <v>7</v>
      </c>
      <c r="B9" s="4" t="s">
        <v>14</v>
      </c>
      <c r="C9" s="5">
        <v>227</v>
      </c>
      <c r="D9" s="5">
        <v>212</v>
      </c>
      <c r="E9" s="5">
        <v>15</v>
      </c>
      <c r="F9" s="6">
        <v>8.9120370370370362E-4</v>
      </c>
      <c r="G9" s="6">
        <v>1.6203703703703703E-4</v>
      </c>
      <c r="H9" s="6">
        <v>3.0092592592592595E-4</v>
      </c>
      <c r="I9" s="6">
        <v>2.4652777777777776E-3</v>
      </c>
      <c r="J9" s="6">
        <v>7.291666666666667E-4</v>
      </c>
      <c r="K9" s="7">
        <v>0.77090000000000003</v>
      </c>
      <c r="L9" s="7">
        <v>0.2291</v>
      </c>
      <c r="M9" s="8">
        <v>0.14235797023718988</v>
      </c>
    </row>
    <row r="10" spans="1:13" ht="16.5" customHeight="1" x14ac:dyDescent="0.3">
      <c r="A10" s="4">
        <f>SUBTOTAL(3,$B$2:B10)-1</f>
        <v>8</v>
      </c>
      <c r="B10" s="4" t="s">
        <v>17</v>
      </c>
      <c r="C10" s="5">
        <v>126</v>
      </c>
      <c r="D10" s="5">
        <v>121</v>
      </c>
      <c r="E10" s="5">
        <v>5</v>
      </c>
      <c r="F10" s="6">
        <v>8.1018518518518516E-4</v>
      </c>
      <c r="G10" s="6">
        <v>1.273148148148148E-4</v>
      </c>
      <c r="H10" s="6">
        <v>1.8518518518518518E-4</v>
      </c>
      <c r="I10" s="6">
        <v>9.7222222222222209E-4</v>
      </c>
      <c r="J10" s="6">
        <v>6.7129629629629625E-4</v>
      </c>
      <c r="K10" s="7">
        <v>0.77780000000000005</v>
      </c>
      <c r="L10" s="7">
        <v>0.22220000000000001</v>
      </c>
      <c r="M10" s="8">
        <v>5.4134212822503823E-2</v>
      </c>
    </row>
    <row r="11" spans="1:13" ht="16.5" x14ac:dyDescent="0.3">
      <c r="A11" s="4">
        <f>SUBTOTAL(3,$B$2:B11)-1</f>
        <v>9</v>
      </c>
      <c r="B11" s="4" t="s">
        <v>21</v>
      </c>
      <c r="C11" s="15">
        <v>39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39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1662</v>
      </c>
      <c r="D13" s="12">
        <f>SUM(D3:D10)</f>
        <v>1269</v>
      </c>
      <c r="E13" s="12">
        <f>SUM(E3:E10)</f>
        <v>393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6D40E-642E-48E5-B2C2-CC930546342B}">
  <dimension ref="A1:M13"/>
  <sheetViews>
    <sheetView workbookViewId="0">
      <selection activeCell="M7" sqref="M7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197</v>
      </c>
      <c r="D3" s="5">
        <v>103</v>
      </c>
      <c r="E3" s="5">
        <v>94</v>
      </c>
      <c r="F3" s="6">
        <v>1.2268518518518518E-3</v>
      </c>
      <c r="G3" s="6">
        <v>4.1666666666666669E-4</v>
      </c>
      <c r="H3" s="6">
        <v>7.9861111111111105E-4</v>
      </c>
      <c r="I3" s="6">
        <v>3.5069444444444445E-3</v>
      </c>
      <c r="J3" s="6">
        <v>7.9861111111111105E-4</v>
      </c>
      <c r="K3" s="7">
        <v>7.6100000000000001E-2</v>
      </c>
      <c r="L3" s="7">
        <v>0.92390000000000005</v>
      </c>
      <c r="M3" s="8">
        <v>0.21233418811536392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288</v>
      </c>
      <c r="D4" s="5">
        <v>166</v>
      </c>
      <c r="E4" s="5">
        <v>122</v>
      </c>
      <c r="F4" s="6">
        <v>1.1689814814814816E-3</v>
      </c>
      <c r="G4" s="6">
        <v>6.8287037037037025E-4</v>
      </c>
      <c r="H4" s="6">
        <v>7.9861111111111105E-4</v>
      </c>
      <c r="I4" s="6">
        <v>5.37037037037037E-3</v>
      </c>
      <c r="J4" s="6">
        <v>4.7453703703703704E-4</v>
      </c>
      <c r="K4" s="7">
        <v>0.16669999999999999</v>
      </c>
      <c r="L4" s="7">
        <v>0.83330000000000004</v>
      </c>
      <c r="M4" s="8">
        <v>0.10535979991768765</v>
      </c>
    </row>
    <row r="5" spans="1:13" ht="16.5" customHeight="1" x14ac:dyDescent="0.3">
      <c r="A5" s="4">
        <f>SUBTOTAL(3,$B$2:B5)-1</f>
        <v>3</v>
      </c>
      <c r="B5" s="4" t="s">
        <v>16</v>
      </c>
      <c r="C5" s="5">
        <v>103</v>
      </c>
      <c r="D5" s="5">
        <v>50</v>
      </c>
      <c r="E5" s="5">
        <v>53</v>
      </c>
      <c r="F5" s="6">
        <v>1.3541666666666667E-3</v>
      </c>
      <c r="G5" s="6">
        <v>6.8287037037037025E-4</v>
      </c>
      <c r="H5" s="6">
        <v>7.6388888888888893E-4</v>
      </c>
      <c r="I5" s="6">
        <v>2.2337962962962967E-3</v>
      </c>
      <c r="J5" s="6">
        <v>6.7129629629629625E-4</v>
      </c>
      <c r="K5" s="7">
        <v>0.25240000000000001</v>
      </c>
      <c r="L5" s="7">
        <v>0.74760000000000004</v>
      </c>
      <c r="M5" s="8">
        <v>0.18292335454459113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149</v>
      </c>
      <c r="D6" s="5">
        <v>133</v>
      </c>
      <c r="E6" s="5">
        <v>16</v>
      </c>
      <c r="F6" s="6">
        <v>8.2175925925925917E-4</v>
      </c>
      <c r="G6" s="6">
        <v>1.9675925925925926E-4</v>
      </c>
      <c r="H6" s="6">
        <v>3.4722222222222224E-4</v>
      </c>
      <c r="I6" s="6">
        <v>1.5972222222222221E-3</v>
      </c>
      <c r="J6" s="6">
        <v>6.134259259259259E-4</v>
      </c>
      <c r="K6" s="7">
        <v>0.66439999999999999</v>
      </c>
      <c r="L6" s="7">
        <v>0.33560000000000001</v>
      </c>
      <c r="M6" s="8">
        <v>0.18824199829043595</v>
      </c>
    </row>
    <row r="7" spans="1:13" ht="16.5" customHeight="1" x14ac:dyDescent="0.3">
      <c r="A7" s="4">
        <f>SUBTOTAL(3,$B$2:B7)-1</f>
        <v>5</v>
      </c>
      <c r="B7" s="4" t="s">
        <v>20</v>
      </c>
      <c r="C7" s="5">
        <v>19</v>
      </c>
      <c r="D7" s="5">
        <v>17</v>
      </c>
      <c r="E7" s="5">
        <v>2</v>
      </c>
      <c r="F7" s="6">
        <v>6.9444444444444447E-4</v>
      </c>
      <c r="G7" s="6">
        <v>1.0416666666666667E-4</v>
      </c>
      <c r="H7" s="6">
        <v>3.2407407407407406E-4</v>
      </c>
      <c r="I7" s="6">
        <v>2.0138888888888888E-3</v>
      </c>
      <c r="J7" s="6">
        <v>5.9027777777777778E-4</v>
      </c>
      <c r="K7" s="7">
        <v>0.73680000000000001</v>
      </c>
      <c r="L7" s="7">
        <v>0.26319999999999999</v>
      </c>
      <c r="M7" s="8">
        <v>3.5204356222496597E-2</v>
      </c>
    </row>
    <row r="8" spans="1:13" ht="16.5" customHeight="1" x14ac:dyDescent="0.3">
      <c r="A8" s="4">
        <f>SUBTOTAL(3,$B$2:B8)-1</f>
        <v>6</v>
      </c>
      <c r="B8" s="4" t="s">
        <v>19</v>
      </c>
      <c r="C8" s="5">
        <v>121</v>
      </c>
      <c r="D8" s="5">
        <v>106</v>
      </c>
      <c r="E8" s="5">
        <v>15</v>
      </c>
      <c r="F8" s="6">
        <v>6.018518518518519E-4</v>
      </c>
      <c r="G8" s="6">
        <v>1.3888888888888889E-4</v>
      </c>
      <c r="H8" s="6">
        <v>2.4305555555555552E-4</v>
      </c>
      <c r="I8" s="6">
        <v>2.3379629629629631E-3</v>
      </c>
      <c r="J8" s="6">
        <v>4.5138888888888892E-4</v>
      </c>
      <c r="K8" s="7">
        <v>0.77690000000000003</v>
      </c>
      <c r="L8" s="7">
        <v>0.22309999999999999</v>
      </c>
      <c r="M8" s="8">
        <v>0.1308133092728021</v>
      </c>
    </row>
    <row r="9" spans="1:13" ht="16.5" customHeight="1" x14ac:dyDescent="0.3">
      <c r="A9" s="4">
        <f>SUBTOTAL(3,$B$2:B9)-1</f>
        <v>7</v>
      </c>
      <c r="B9" s="4" t="s">
        <v>18</v>
      </c>
      <c r="C9" s="5">
        <v>88</v>
      </c>
      <c r="D9" s="5">
        <v>82</v>
      </c>
      <c r="E9" s="5">
        <v>6</v>
      </c>
      <c r="F9" s="6">
        <v>6.018518518518519E-4</v>
      </c>
      <c r="G9" s="6">
        <v>1.1574074074074073E-4</v>
      </c>
      <c r="H9" s="6">
        <v>1.9675925925925926E-4</v>
      </c>
      <c r="I9" s="6">
        <v>1.6087962962962963E-3</v>
      </c>
      <c r="J9" s="6">
        <v>4.7453703703703704E-4</v>
      </c>
      <c r="K9" s="7">
        <v>0.79549999999999998</v>
      </c>
      <c r="L9" s="7">
        <v>0.20449999999999999</v>
      </c>
      <c r="M9" s="8">
        <v>9.3107924146009435E-2</v>
      </c>
    </row>
    <row r="10" spans="1:13" ht="16.5" customHeight="1" x14ac:dyDescent="0.3">
      <c r="A10" s="4">
        <f>SUBTOTAL(3,$B$2:B10)-1</f>
        <v>8</v>
      </c>
      <c r="B10" s="4" t="s">
        <v>17</v>
      </c>
      <c r="C10" s="5">
        <v>63</v>
      </c>
      <c r="D10" s="5">
        <v>59</v>
      </c>
      <c r="E10" s="5">
        <v>4</v>
      </c>
      <c r="F10" s="6">
        <v>6.8287037037037025E-4</v>
      </c>
      <c r="G10" s="6">
        <v>1.0416666666666667E-4</v>
      </c>
      <c r="H10" s="6">
        <v>1.7361111111111112E-4</v>
      </c>
      <c r="I10" s="6">
        <v>9.8379629629629642E-4</v>
      </c>
      <c r="J10" s="6">
        <v>5.7870370370370378E-4</v>
      </c>
      <c r="K10" s="7">
        <v>0.84130000000000005</v>
      </c>
      <c r="L10" s="7">
        <v>0.15870000000000001</v>
      </c>
      <c r="M10" s="8">
        <v>5.2015069490613228E-2</v>
      </c>
    </row>
    <row r="11" spans="1:13" ht="16.5" x14ac:dyDescent="0.3">
      <c r="A11" s="4">
        <f>SUBTOTAL(3,$B$2:B11)-1</f>
        <v>9</v>
      </c>
      <c r="B11" s="4" t="s">
        <v>21</v>
      </c>
      <c r="C11" s="15">
        <v>61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62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1028</v>
      </c>
      <c r="D13" s="12">
        <f>SUM(D3:D10)</f>
        <v>716</v>
      </c>
      <c r="E13" s="12">
        <f>SUM(E3:E10)</f>
        <v>312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D5885-1060-43DF-ACFD-AFE0B8FEA19E}">
  <dimension ref="A1:M13"/>
  <sheetViews>
    <sheetView workbookViewId="0">
      <selection activeCell="M10" sqref="M3:M10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16</v>
      </c>
      <c r="C3" s="5">
        <v>65</v>
      </c>
      <c r="D3" s="5">
        <v>47</v>
      </c>
      <c r="E3" s="5">
        <v>18</v>
      </c>
      <c r="F3" s="6">
        <v>1.2037037037037038E-3</v>
      </c>
      <c r="G3" s="6">
        <v>3.7037037037037035E-4</v>
      </c>
      <c r="H3" s="6">
        <v>6.7129629629629625E-4</v>
      </c>
      <c r="I3" s="6">
        <v>2.6041666666666665E-3</v>
      </c>
      <c r="J3" s="6">
        <v>8.2175925925925917E-4</v>
      </c>
      <c r="K3" s="7">
        <v>0.2923</v>
      </c>
      <c r="L3" s="7">
        <v>0.7077</v>
      </c>
      <c r="M3" s="8">
        <v>0.20007901569025849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138</v>
      </c>
      <c r="D4" s="5">
        <v>106</v>
      </c>
      <c r="E4" s="5">
        <v>32</v>
      </c>
      <c r="F4" s="6">
        <v>9.9537037037037042E-4</v>
      </c>
      <c r="G4" s="6">
        <v>3.3564814814814812E-4</v>
      </c>
      <c r="H4" s="6">
        <v>6.134259259259259E-4</v>
      </c>
      <c r="I4" s="6">
        <v>2.4652777777777776E-3</v>
      </c>
      <c r="J4" s="6">
        <v>6.4814814814814813E-4</v>
      </c>
      <c r="K4" s="7">
        <v>0.43480000000000002</v>
      </c>
      <c r="L4" s="7">
        <v>0.56520000000000004</v>
      </c>
      <c r="M4" s="8">
        <v>0.21847838356473642</v>
      </c>
    </row>
    <row r="5" spans="1:13" ht="16.5" customHeight="1" x14ac:dyDescent="0.3">
      <c r="A5" s="4">
        <f>SUBTOTAL(3,$B$2:B5)-1</f>
        <v>3</v>
      </c>
      <c r="B5" s="4" t="s">
        <v>13</v>
      </c>
      <c r="C5" s="5">
        <v>122</v>
      </c>
      <c r="D5" s="5">
        <v>94</v>
      </c>
      <c r="E5" s="5">
        <v>28</v>
      </c>
      <c r="F5" s="6">
        <v>9.2592592592592585E-4</v>
      </c>
      <c r="G5" s="6">
        <v>2.8935185185185189E-4</v>
      </c>
      <c r="H5" s="6">
        <v>4.9768518518518521E-4</v>
      </c>
      <c r="I5" s="6">
        <v>2.0717592592592593E-3</v>
      </c>
      <c r="J5" s="6">
        <v>6.3657407407407402E-4</v>
      </c>
      <c r="K5" s="7">
        <v>0.59840000000000004</v>
      </c>
      <c r="L5" s="7">
        <v>0.40160000000000001</v>
      </c>
      <c r="M5" s="8">
        <v>0.12935997290890619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91</v>
      </c>
      <c r="D6" s="5">
        <v>78</v>
      </c>
      <c r="E6" s="5">
        <v>13</v>
      </c>
      <c r="F6" s="6">
        <v>8.7962962962962962E-4</v>
      </c>
      <c r="G6" s="6">
        <v>1.6203703703703703E-4</v>
      </c>
      <c r="H6" s="6">
        <v>2.8935185185185189E-4</v>
      </c>
      <c r="I6" s="6">
        <v>1.4814814814814814E-3</v>
      </c>
      <c r="J6" s="6">
        <v>7.0601851851851847E-4</v>
      </c>
      <c r="K6" s="7">
        <v>0.69230000000000003</v>
      </c>
      <c r="L6" s="7">
        <v>0.30769999999999997</v>
      </c>
      <c r="M6" s="8">
        <v>0.12665086352861496</v>
      </c>
    </row>
    <row r="7" spans="1:13" ht="16.5" customHeight="1" x14ac:dyDescent="0.3">
      <c r="A7" s="4">
        <f>SUBTOTAL(3,$B$2:B7)-1</f>
        <v>5</v>
      </c>
      <c r="B7" s="4" t="s">
        <v>17</v>
      </c>
      <c r="C7" s="5">
        <v>31</v>
      </c>
      <c r="D7" s="5">
        <v>28</v>
      </c>
      <c r="E7" s="5">
        <v>3</v>
      </c>
      <c r="F7" s="6">
        <v>7.291666666666667E-4</v>
      </c>
      <c r="G7" s="6">
        <v>9.2592592592592588E-5</v>
      </c>
      <c r="H7" s="6">
        <v>3.2407407407407406E-4</v>
      </c>
      <c r="I7" s="6">
        <v>2.4305555555555556E-3</v>
      </c>
      <c r="J7" s="6">
        <v>6.2500000000000001E-4</v>
      </c>
      <c r="K7" s="7">
        <v>0.7419</v>
      </c>
      <c r="L7" s="7">
        <v>0.2581</v>
      </c>
      <c r="M7" s="8">
        <v>4.3797268314708204E-2</v>
      </c>
    </row>
    <row r="8" spans="1:13" ht="16.5" customHeight="1" x14ac:dyDescent="0.3">
      <c r="A8" s="4">
        <f>SUBTOTAL(3,$B$2:B8)-1</f>
        <v>6</v>
      </c>
      <c r="B8" s="4" t="s">
        <v>14</v>
      </c>
      <c r="C8" s="5">
        <v>98</v>
      </c>
      <c r="D8" s="5">
        <v>88</v>
      </c>
      <c r="E8" s="5">
        <v>10</v>
      </c>
      <c r="F8" s="6">
        <v>8.9120370370370362E-4</v>
      </c>
      <c r="G8" s="6">
        <v>1.3888888888888889E-4</v>
      </c>
      <c r="H8" s="6">
        <v>2.7777777777777778E-4</v>
      </c>
      <c r="I8" s="6">
        <v>2.0138888888888888E-3</v>
      </c>
      <c r="J8" s="6">
        <v>7.407407407407407E-4</v>
      </c>
      <c r="K8" s="7">
        <v>0.74490000000000001</v>
      </c>
      <c r="L8" s="7">
        <v>0.25509999999999999</v>
      </c>
      <c r="M8" s="8">
        <v>0.1421153629077774</v>
      </c>
    </row>
    <row r="9" spans="1:13" ht="16.5" customHeight="1" x14ac:dyDescent="0.3">
      <c r="A9" s="4">
        <f>SUBTOTAL(3,$B$2:B9)-1</f>
        <v>7</v>
      </c>
      <c r="B9" s="4" t="s">
        <v>20</v>
      </c>
      <c r="C9" s="5">
        <v>17</v>
      </c>
      <c r="D9" s="5">
        <v>14</v>
      </c>
      <c r="E9" s="5">
        <v>3</v>
      </c>
      <c r="F9" s="6">
        <v>9.2592592592592585E-4</v>
      </c>
      <c r="G9" s="6">
        <v>1.5046296296296297E-4</v>
      </c>
      <c r="H9" s="6">
        <v>2.6620370370370372E-4</v>
      </c>
      <c r="I9" s="6">
        <v>1.3310185185185185E-3</v>
      </c>
      <c r="J9" s="6">
        <v>7.6388888888888893E-4</v>
      </c>
      <c r="K9" s="7">
        <v>0.76470000000000005</v>
      </c>
      <c r="L9" s="7">
        <v>0.23530000000000001</v>
      </c>
      <c r="M9" s="8">
        <v>6.6373179817135114E-2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68</v>
      </c>
      <c r="D10" s="5">
        <v>64</v>
      </c>
      <c r="E10" s="5">
        <v>4</v>
      </c>
      <c r="F10" s="6">
        <v>8.1018518518518516E-4</v>
      </c>
      <c r="G10" s="6">
        <v>9.2592592592592588E-5</v>
      </c>
      <c r="H10" s="6">
        <v>1.7361111111111112E-4</v>
      </c>
      <c r="I10" s="6">
        <v>1.3657407407407409E-3</v>
      </c>
      <c r="J10" s="6">
        <v>7.0601851851851847E-4</v>
      </c>
      <c r="K10" s="7">
        <v>0.82350000000000001</v>
      </c>
      <c r="L10" s="7">
        <v>0.17649999999999999</v>
      </c>
      <c r="M10" s="8">
        <v>7.314595326786319E-2</v>
      </c>
    </row>
    <row r="11" spans="1:13" ht="16.5" x14ac:dyDescent="0.3">
      <c r="A11" s="4">
        <f>SUBTOTAL(3,$B$2:B11)-1</f>
        <v>9</v>
      </c>
      <c r="B11" s="4" t="s">
        <v>21</v>
      </c>
      <c r="C11" s="15">
        <v>14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69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630</v>
      </c>
      <c r="D13" s="12">
        <f>SUM(D3:D10)</f>
        <v>519</v>
      </c>
      <c r="E13" s="12">
        <f>SUM(E3:E10)</f>
        <v>111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03986-8B02-4C47-8704-8E04C91B8BAE}">
  <dimension ref="A1:M13"/>
  <sheetViews>
    <sheetView workbookViewId="0">
      <selection activeCell="M3" sqref="M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16</v>
      </c>
      <c r="C3" s="5">
        <v>73</v>
      </c>
      <c r="D3" s="5">
        <v>53</v>
      </c>
      <c r="E3" s="5">
        <v>20</v>
      </c>
      <c r="F3" s="6">
        <v>9.6064814814814808E-4</v>
      </c>
      <c r="G3" s="6">
        <v>1.9675925925925926E-4</v>
      </c>
      <c r="H3" s="6">
        <v>1.0879629629629629E-3</v>
      </c>
      <c r="I3" s="6">
        <v>4.7453703703703703E-3</v>
      </c>
      <c r="J3" s="6">
        <v>7.6388888888888893E-4</v>
      </c>
      <c r="K3" s="7">
        <v>0.21920000000000001</v>
      </c>
      <c r="L3" s="7">
        <v>0.78080000000000005</v>
      </c>
      <c r="M3" s="8">
        <v>0.15080600612665093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156</v>
      </c>
      <c r="D4" s="5">
        <v>116</v>
      </c>
      <c r="E4" s="5">
        <v>40</v>
      </c>
      <c r="F4" s="6">
        <v>9.7222222222222209E-4</v>
      </c>
      <c r="G4" s="6">
        <v>4.3981481481481481E-4</v>
      </c>
      <c r="H4" s="6">
        <v>7.7546296296296304E-4</v>
      </c>
      <c r="I4" s="6">
        <v>4.5833333333333334E-3</v>
      </c>
      <c r="J4" s="6">
        <v>5.3240740740740744E-4</v>
      </c>
      <c r="K4" s="7">
        <v>0.31409999999999999</v>
      </c>
      <c r="L4" s="7">
        <v>0.68589999999999995</v>
      </c>
      <c r="M4" s="8">
        <v>0.23617737156631347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133</v>
      </c>
      <c r="D5" s="5">
        <v>120</v>
      </c>
      <c r="E5" s="5">
        <v>13</v>
      </c>
      <c r="F5" s="6">
        <v>1.0069444444444444E-3</v>
      </c>
      <c r="G5" s="6">
        <v>3.3564814814814812E-4</v>
      </c>
      <c r="H5" s="6">
        <v>4.5138888888888892E-4</v>
      </c>
      <c r="I5" s="6">
        <v>3.8194444444444443E-3</v>
      </c>
      <c r="J5" s="6">
        <v>6.5972222222222213E-4</v>
      </c>
      <c r="K5" s="7">
        <v>0.61650000000000005</v>
      </c>
      <c r="L5" s="7">
        <v>0.38350000000000001</v>
      </c>
      <c r="M5" s="8">
        <v>0.16788027921458343</v>
      </c>
    </row>
    <row r="6" spans="1:13" ht="16.5" customHeight="1" x14ac:dyDescent="0.3">
      <c r="A6" s="4">
        <f>SUBTOTAL(3,$B$2:B6)-1</f>
        <v>4</v>
      </c>
      <c r="B6" s="4" t="s">
        <v>20</v>
      </c>
      <c r="C6" s="5">
        <v>22</v>
      </c>
      <c r="D6" s="5">
        <v>16</v>
      </c>
      <c r="E6" s="5">
        <v>6</v>
      </c>
      <c r="F6" s="6">
        <v>7.7546296296296304E-4</v>
      </c>
      <c r="G6" s="6">
        <v>1.0416666666666667E-4</v>
      </c>
      <c r="H6" s="6">
        <v>3.3564814814814812E-4</v>
      </c>
      <c r="I6" s="6">
        <v>1.4004629629629629E-3</v>
      </c>
      <c r="J6" s="6">
        <v>6.7129629629629625E-4</v>
      </c>
      <c r="K6" s="7">
        <v>0.68179999999999996</v>
      </c>
      <c r="L6" s="7">
        <v>0.31819999999999998</v>
      </c>
      <c r="M6" s="8">
        <v>8.034952041380003E-2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94</v>
      </c>
      <c r="D7" s="5">
        <v>78</v>
      </c>
      <c r="E7" s="5">
        <v>16</v>
      </c>
      <c r="F7" s="6">
        <v>8.1018518518518516E-4</v>
      </c>
      <c r="G7" s="6">
        <v>1.8518518518518518E-4</v>
      </c>
      <c r="H7" s="6">
        <v>3.3564814814814812E-4</v>
      </c>
      <c r="I7" s="6">
        <v>1.5856481481481479E-3</v>
      </c>
      <c r="J7" s="6">
        <v>6.134259259259259E-4</v>
      </c>
      <c r="K7" s="7">
        <v>0.70209999999999995</v>
      </c>
      <c r="L7" s="7">
        <v>0.2979</v>
      </c>
      <c r="M7" s="8">
        <v>0.13483653894440817</v>
      </c>
    </row>
    <row r="8" spans="1:13" ht="16.5" customHeight="1" x14ac:dyDescent="0.3">
      <c r="A8" s="4">
        <f>SUBTOTAL(3,$B$2:B8)-1</f>
        <v>6</v>
      </c>
      <c r="B8" s="4" t="s">
        <v>13</v>
      </c>
      <c r="C8" s="5">
        <v>92</v>
      </c>
      <c r="D8" s="5">
        <v>87</v>
      </c>
      <c r="E8" s="5">
        <v>5</v>
      </c>
      <c r="F8" s="6">
        <v>9.0277777777777784E-4</v>
      </c>
      <c r="G8" s="6">
        <v>2.8935185185185189E-4</v>
      </c>
      <c r="H8" s="6">
        <v>3.7037037037037035E-4</v>
      </c>
      <c r="I8" s="6">
        <v>2.2685185185185182E-3</v>
      </c>
      <c r="J8" s="6">
        <v>6.134259259259259E-4</v>
      </c>
      <c r="K8" s="7">
        <v>0.75</v>
      </c>
      <c r="L8" s="7">
        <v>0.25</v>
      </c>
      <c r="M8" s="8">
        <v>0.12639983930095916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38</v>
      </c>
      <c r="D9" s="5">
        <v>36</v>
      </c>
      <c r="E9" s="5">
        <v>2</v>
      </c>
      <c r="F9" s="6">
        <v>7.9861111111111105E-4</v>
      </c>
      <c r="G9" s="6">
        <v>8.1018518518518516E-5</v>
      </c>
      <c r="H9" s="6">
        <v>1.8518518518518518E-4</v>
      </c>
      <c r="I9" s="6">
        <v>9.8379629629629642E-4</v>
      </c>
      <c r="J9" s="6">
        <v>7.175925925925927E-4</v>
      </c>
      <c r="K9" s="7">
        <v>0.76319999999999999</v>
      </c>
      <c r="L9" s="7">
        <v>0.23680000000000001</v>
      </c>
      <c r="M9" s="8">
        <v>5.0921508562245768E-2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59</v>
      </c>
      <c r="D10" s="5">
        <v>57</v>
      </c>
      <c r="E10" s="5">
        <v>2</v>
      </c>
      <c r="F10" s="6">
        <v>6.9444444444444447E-4</v>
      </c>
      <c r="G10" s="6">
        <v>8.1018518518518516E-5</v>
      </c>
      <c r="H10" s="6">
        <v>1.1574074074074073E-4</v>
      </c>
      <c r="I10" s="6">
        <v>7.6388888888888893E-4</v>
      </c>
      <c r="J10" s="6">
        <v>6.018518518518519E-4</v>
      </c>
      <c r="K10" s="7">
        <v>0.89829999999999999</v>
      </c>
      <c r="L10" s="7">
        <v>0.1017</v>
      </c>
      <c r="M10" s="8">
        <v>5.262893587103902E-2</v>
      </c>
    </row>
    <row r="11" spans="1:13" ht="16.5" x14ac:dyDescent="0.3">
      <c r="A11" s="4">
        <f>SUBTOTAL(3,$B$2:B11)-1</f>
        <v>9</v>
      </c>
      <c r="B11" s="4" t="s">
        <v>21</v>
      </c>
      <c r="C11" s="15">
        <v>28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667</v>
      </c>
      <c r="D13" s="12">
        <f>SUM(D3:D10)</f>
        <v>563</v>
      </c>
      <c r="E13" s="12">
        <f>SUM(E3:E10)</f>
        <v>104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98919-25EC-4317-942F-203249E2F96C}">
  <dimension ref="A1:M13"/>
  <sheetViews>
    <sheetView workbookViewId="0">
      <selection activeCell="O9" sqref="O9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16</v>
      </c>
      <c r="C3" s="5">
        <v>40</v>
      </c>
      <c r="D3" s="5">
        <f t="shared" ref="D3:D10" si="0">C3-E3</f>
        <v>34</v>
      </c>
      <c r="E3" s="5">
        <v>6</v>
      </c>
      <c r="F3" s="6">
        <v>9.8379629629629642E-4</v>
      </c>
      <c r="G3" s="6">
        <v>3.2407407407407406E-4</v>
      </c>
      <c r="H3" s="6">
        <v>5.4398148148148144E-4</v>
      </c>
      <c r="I3" s="6">
        <v>2.2337962962962967E-3</v>
      </c>
      <c r="J3" s="6">
        <v>6.4814814814814813E-4</v>
      </c>
      <c r="K3" s="7">
        <v>0.52500000000000002</v>
      </c>
      <c r="L3" s="7">
        <v>0.47499999999999998</v>
      </c>
      <c r="M3" s="8">
        <v>0.2108462904180341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146</v>
      </c>
      <c r="D4" s="5">
        <f t="shared" si="0"/>
        <v>125</v>
      </c>
      <c r="E4" s="5">
        <v>21</v>
      </c>
      <c r="F4" s="6">
        <v>7.7546296296296304E-4</v>
      </c>
      <c r="G4" s="6">
        <v>2.199074074074074E-4</v>
      </c>
      <c r="H4" s="6">
        <v>4.0509259259259258E-4</v>
      </c>
      <c r="I4" s="6">
        <v>2.1759259259259258E-3</v>
      </c>
      <c r="J4" s="6">
        <v>5.4398148148148144E-4</v>
      </c>
      <c r="K4" s="7">
        <v>0.60270000000000001</v>
      </c>
      <c r="L4" s="7">
        <v>0.39729999999999999</v>
      </c>
      <c r="M4" s="8">
        <v>0.21095389250551461</v>
      </c>
    </row>
    <row r="5" spans="1:13" ht="16.5" customHeight="1" x14ac:dyDescent="0.3">
      <c r="A5" s="4">
        <f>SUBTOTAL(3,$B$2:B5)-1</f>
        <v>3</v>
      </c>
      <c r="B5" s="4" t="s">
        <v>20</v>
      </c>
      <c r="C5" s="5">
        <v>13</v>
      </c>
      <c r="D5" s="5">
        <f t="shared" si="0"/>
        <v>11</v>
      </c>
      <c r="E5" s="5">
        <v>2</v>
      </c>
      <c r="F5" s="6">
        <v>8.3333333333333339E-4</v>
      </c>
      <c r="G5" s="6">
        <v>2.0833333333333335E-4</v>
      </c>
      <c r="H5" s="6">
        <v>2.7777777777777778E-4</v>
      </c>
      <c r="I5" s="6">
        <v>7.7546296296296304E-4</v>
      </c>
      <c r="J5" s="6">
        <v>6.2500000000000001E-4</v>
      </c>
      <c r="K5" s="7">
        <v>0.76919999999999999</v>
      </c>
      <c r="L5" s="7">
        <v>0.23080000000000001</v>
      </c>
      <c r="M5" s="8">
        <v>7.1878194436972076E-2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104</v>
      </c>
      <c r="D6" s="5">
        <f t="shared" si="0"/>
        <v>97</v>
      </c>
      <c r="E6" s="5">
        <v>7</v>
      </c>
      <c r="F6" s="6">
        <v>7.407407407407407E-4</v>
      </c>
      <c r="G6" s="6">
        <v>2.4305555555555552E-4</v>
      </c>
      <c r="H6" s="6">
        <v>3.7037037037037035E-4</v>
      </c>
      <c r="I6" s="6">
        <v>2.9398148148148148E-3</v>
      </c>
      <c r="J6" s="6">
        <v>4.8611111111111104E-4</v>
      </c>
      <c r="K6" s="7">
        <v>0.78849999999999998</v>
      </c>
      <c r="L6" s="7">
        <v>0.21149999999999999</v>
      </c>
      <c r="M6" s="8">
        <v>0.13192015925108946</v>
      </c>
    </row>
    <row r="7" spans="1:13" ht="16.5" customHeight="1" x14ac:dyDescent="0.3">
      <c r="A7" s="4">
        <f>SUBTOTAL(3,$B$2:B7)-1</f>
        <v>5</v>
      </c>
      <c r="B7" s="4" t="s">
        <v>14</v>
      </c>
      <c r="C7" s="5">
        <v>101</v>
      </c>
      <c r="D7" s="5">
        <f t="shared" si="0"/>
        <v>98</v>
      </c>
      <c r="E7" s="5">
        <v>3</v>
      </c>
      <c r="F7" s="6">
        <v>1.0879629629629629E-3</v>
      </c>
      <c r="G7" s="6">
        <v>2.0833333333333335E-4</v>
      </c>
      <c r="H7" s="6">
        <v>2.6620370370370372E-4</v>
      </c>
      <c r="I7" s="6">
        <v>9.9537037037037042E-4</v>
      </c>
      <c r="J7" s="6">
        <v>8.7962962962962962E-4</v>
      </c>
      <c r="K7" s="7">
        <v>0.79210000000000003</v>
      </c>
      <c r="L7" s="7">
        <v>0.2079</v>
      </c>
      <c r="M7" s="8">
        <v>0.19137031258406412</v>
      </c>
    </row>
    <row r="8" spans="1:13" ht="16.5" customHeight="1" x14ac:dyDescent="0.3">
      <c r="A8" s="4">
        <f>SUBTOTAL(3,$B$2:B8)-1</f>
        <v>6</v>
      </c>
      <c r="B8" s="4" t="s">
        <v>13</v>
      </c>
      <c r="C8" s="5">
        <v>39</v>
      </c>
      <c r="D8" s="5">
        <f t="shared" si="0"/>
        <v>38</v>
      </c>
      <c r="E8" s="5">
        <v>1</v>
      </c>
      <c r="F8" s="6">
        <v>1.0648148148148147E-3</v>
      </c>
      <c r="G8" s="6">
        <v>2.0833333333333335E-4</v>
      </c>
      <c r="H8" s="6">
        <v>2.5462962962962961E-4</v>
      </c>
      <c r="I8" s="6">
        <v>1.2847222222222223E-3</v>
      </c>
      <c r="J8" s="6">
        <v>8.564814814814815E-4</v>
      </c>
      <c r="K8" s="7">
        <v>0.79490000000000005</v>
      </c>
      <c r="L8" s="7">
        <v>0.2051</v>
      </c>
      <c r="M8" s="8">
        <v>9.0600957658578576E-2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44</v>
      </c>
      <c r="D9" s="5">
        <f t="shared" si="0"/>
        <v>42</v>
      </c>
      <c r="E9" s="5">
        <v>2</v>
      </c>
      <c r="F9" s="6">
        <v>6.134259259259259E-4</v>
      </c>
      <c r="G9" s="6">
        <v>6.9444444444444444E-5</v>
      </c>
      <c r="H9" s="6">
        <v>1.1574074074074073E-4</v>
      </c>
      <c r="I9" s="6">
        <v>1.1574074074074073E-3</v>
      </c>
      <c r="J9" s="6">
        <v>5.4398148148148144E-4</v>
      </c>
      <c r="K9" s="7">
        <v>0.86360000000000003</v>
      </c>
      <c r="L9" s="7">
        <v>0.13639999999999999</v>
      </c>
      <c r="M9" s="8">
        <v>3.9651369236563191E-2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58</v>
      </c>
      <c r="D10" s="5">
        <f t="shared" si="0"/>
        <v>56</v>
      </c>
      <c r="E10" s="5">
        <v>2</v>
      </c>
      <c r="F10" s="6">
        <v>4.7453703703703704E-4</v>
      </c>
      <c r="G10" s="6">
        <v>8.1018518518518516E-5</v>
      </c>
      <c r="H10" s="6">
        <v>9.2592592592592588E-5</v>
      </c>
      <c r="I10" s="6">
        <v>7.6388888888888893E-4</v>
      </c>
      <c r="J10" s="6">
        <v>3.8194444444444446E-4</v>
      </c>
      <c r="K10" s="7">
        <v>0.94830000000000003</v>
      </c>
      <c r="L10" s="7">
        <v>5.1700000000000003E-2</v>
      </c>
      <c r="M10" s="8">
        <v>5.2778823909183835E-2</v>
      </c>
    </row>
    <row r="11" spans="1:13" ht="16.5" x14ac:dyDescent="0.3">
      <c r="A11" s="4">
        <f>SUBTOTAL(3,$B$2:B11)-1</f>
        <v>9</v>
      </c>
      <c r="B11" s="4" t="s">
        <v>21</v>
      </c>
      <c r="C11" s="15">
        <v>11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60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545</v>
      </c>
      <c r="D13" s="12">
        <f>SUM(D3:D10)</f>
        <v>501</v>
      </c>
      <c r="E13" s="12">
        <f>SUM(E3:E10)</f>
        <v>44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B0A3C-5227-4E31-9F5F-2D3B00CBF35C}">
  <dimension ref="A1:M13"/>
  <sheetViews>
    <sheetView workbookViewId="0">
      <selection activeCell="D10" sqref="D3:D10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16</v>
      </c>
      <c r="C3" s="5">
        <v>32</v>
      </c>
      <c r="D3" s="5">
        <v>28</v>
      </c>
      <c r="E3" s="5">
        <v>4</v>
      </c>
      <c r="F3" s="6">
        <v>9.8379629629629642E-4</v>
      </c>
      <c r="G3" s="6">
        <v>2.7777777777777778E-4</v>
      </c>
      <c r="H3" s="6">
        <v>4.7453703703703704E-4</v>
      </c>
      <c r="I3" s="6">
        <v>1.7708333333333332E-3</v>
      </c>
      <c r="J3" s="6">
        <v>6.9444444444444447E-4</v>
      </c>
      <c r="K3" s="7">
        <v>0.625</v>
      </c>
      <c r="L3" s="7">
        <v>0.375</v>
      </c>
      <c r="M3" s="8">
        <v>0.14000000000000001</v>
      </c>
    </row>
    <row r="4" spans="1:13" ht="16.5" customHeight="1" x14ac:dyDescent="0.3">
      <c r="A4" s="4">
        <f>SUBTOTAL(3,$B$2:B4)-1</f>
        <v>2</v>
      </c>
      <c r="B4" s="4" t="s">
        <v>19</v>
      </c>
      <c r="C4" s="5">
        <v>99</v>
      </c>
      <c r="D4" s="5">
        <v>85</v>
      </c>
      <c r="E4" s="5">
        <v>14</v>
      </c>
      <c r="F4" s="6">
        <v>8.2175925925925917E-4</v>
      </c>
      <c r="G4" s="6">
        <v>1.9675925925925926E-4</v>
      </c>
      <c r="H4" s="6">
        <v>3.4722222222222224E-4</v>
      </c>
      <c r="I4" s="6">
        <v>1.5740740740740741E-3</v>
      </c>
      <c r="J4" s="6">
        <v>6.2500000000000001E-4</v>
      </c>
      <c r="K4" s="7">
        <v>0.65659999999999996</v>
      </c>
      <c r="L4" s="7">
        <v>0.34339999999999998</v>
      </c>
      <c r="M4" s="8">
        <v>0.15</v>
      </c>
    </row>
    <row r="5" spans="1:13" ht="16.5" customHeight="1" x14ac:dyDescent="0.3">
      <c r="A5" s="4">
        <f>SUBTOTAL(3,$B$2:B5)-1</f>
        <v>3</v>
      </c>
      <c r="B5" s="4" t="s">
        <v>15</v>
      </c>
      <c r="C5" s="5">
        <v>110</v>
      </c>
      <c r="D5" s="5">
        <v>99</v>
      </c>
      <c r="E5" s="5">
        <v>11</v>
      </c>
      <c r="F5" s="6">
        <v>7.6388888888888893E-4</v>
      </c>
      <c r="G5" s="6">
        <v>2.0833333333333335E-4</v>
      </c>
      <c r="H5" s="6">
        <v>3.0092592592592595E-4</v>
      </c>
      <c r="I5" s="6">
        <v>2.5115740740740741E-3</v>
      </c>
      <c r="J5" s="6">
        <v>5.5555555555555556E-4</v>
      </c>
      <c r="K5" s="7">
        <v>0.74550000000000005</v>
      </c>
      <c r="L5" s="7">
        <v>0.2545</v>
      </c>
      <c r="M5" s="8">
        <v>0.2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96</v>
      </c>
      <c r="D6" s="5">
        <v>95</v>
      </c>
      <c r="E6" s="5">
        <v>1</v>
      </c>
      <c r="F6" s="6">
        <v>9.3750000000000007E-4</v>
      </c>
      <c r="G6" s="6">
        <v>1.3888888888888889E-4</v>
      </c>
      <c r="H6" s="6">
        <v>2.5462962962962961E-4</v>
      </c>
      <c r="I6" s="6">
        <v>3.2638888888888891E-3</v>
      </c>
      <c r="J6" s="6">
        <v>7.9861111111111105E-4</v>
      </c>
      <c r="K6" s="7">
        <v>0.78120000000000001</v>
      </c>
      <c r="L6" s="7">
        <v>0.21879999999999999</v>
      </c>
      <c r="M6" s="8">
        <v>0.19</v>
      </c>
    </row>
    <row r="7" spans="1:13" ht="16.5" customHeight="1" x14ac:dyDescent="0.3">
      <c r="A7" s="4">
        <f>SUBTOTAL(3,$B$2:B7)-1</f>
        <v>5</v>
      </c>
      <c r="B7" s="4" t="s">
        <v>17</v>
      </c>
      <c r="C7" s="5">
        <v>42</v>
      </c>
      <c r="D7" s="5">
        <v>39</v>
      </c>
      <c r="E7" s="5">
        <v>3</v>
      </c>
      <c r="F7" s="6">
        <v>7.6388888888888893E-4</v>
      </c>
      <c r="G7" s="6">
        <v>1.273148148148148E-4</v>
      </c>
      <c r="H7" s="6">
        <v>1.7361111111111112E-4</v>
      </c>
      <c r="I7" s="6">
        <v>7.6388888888888893E-4</v>
      </c>
      <c r="J7" s="6">
        <v>6.3657407407407402E-4</v>
      </c>
      <c r="K7" s="7">
        <v>0.78569999999999995</v>
      </c>
      <c r="L7" s="7">
        <v>0.21429999999999999</v>
      </c>
      <c r="M7" s="8">
        <v>7.0000000000000007E-2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19</v>
      </c>
      <c r="D8" s="5">
        <v>19</v>
      </c>
      <c r="E8" s="5">
        <v>0</v>
      </c>
      <c r="F8" s="6">
        <v>6.9444444444444447E-4</v>
      </c>
      <c r="G8" s="6">
        <v>1.5046296296296297E-4</v>
      </c>
      <c r="H8" s="6">
        <v>3.4722222222222224E-4</v>
      </c>
      <c r="I8" s="6">
        <v>2.2569444444444447E-3</v>
      </c>
      <c r="J8" s="6">
        <v>5.3240740740740744E-4</v>
      </c>
      <c r="K8" s="7">
        <v>0.84209999999999996</v>
      </c>
      <c r="L8" s="7">
        <v>0.15790000000000001</v>
      </c>
      <c r="M8" s="8">
        <v>0.1</v>
      </c>
    </row>
    <row r="9" spans="1:13" ht="16.5" customHeight="1" x14ac:dyDescent="0.3">
      <c r="A9" s="4">
        <f>SUBTOTAL(3,$B$2:B9)-1</f>
        <v>7</v>
      </c>
      <c r="B9" s="4" t="s">
        <v>13</v>
      </c>
      <c r="C9" s="5">
        <v>49</v>
      </c>
      <c r="D9" s="5">
        <v>47</v>
      </c>
      <c r="E9" s="5">
        <v>2</v>
      </c>
      <c r="F9" s="6">
        <v>1.0763888888888889E-3</v>
      </c>
      <c r="G9" s="6">
        <v>1.5046296296296297E-4</v>
      </c>
      <c r="H9" s="6">
        <v>1.6203703703703703E-4</v>
      </c>
      <c r="I9" s="6">
        <v>7.9861111111111105E-4</v>
      </c>
      <c r="J9" s="6">
        <v>9.2592592592592585E-4</v>
      </c>
      <c r="K9" s="7">
        <v>0.93879999999999997</v>
      </c>
      <c r="L9" s="7">
        <v>6.1199999999999997E-2</v>
      </c>
      <c r="M9" s="8">
        <v>0.08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53</v>
      </c>
      <c r="D10" s="5">
        <v>52</v>
      </c>
      <c r="E10" s="5">
        <v>1</v>
      </c>
      <c r="F10" s="6">
        <v>6.2500000000000001E-4</v>
      </c>
      <c r="G10" s="6">
        <v>5.7870370370370366E-5</v>
      </c>
      <c r="H10" s="6">
        <v>8.1018518518518516E-5</v>
      </c>
      <c r="I10" s="6">
        <v>1.0416666666666667E-3</v>
      </c>
      <c r="J10" s="6">
        <v>5.5555555555555556E-4</v>
      </c>
      <c r="K10" s="7">
        <v>0.94340000000000002</v>
      </c>
      <c r="L10" s="7">
        <v>5.6599999999999998E-2</v>
      </c>
      <c r="M10" s="8">
        <v>7.0000000000000007E-2</v>
      </c>
    </row>
    <row r="11" spans="1:13" ht="16.5" x14ac:dyDescent="0.3">
      <c r="A11" s="4">
        <f>SUBTOTAL(3,$B$2:B11)-1</f>
        <v>9</v>
      </c>
      <c r="B11" s="4" t="s">
        <v>21</v>
      </c>
      <c r="C11" s="15">
        <v>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48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500</v>
      </c>
      <c r="D13" s="12">
        <f>SUM(D3:D10)</f>
        <v>464</v>
      </c>
      <c r="E13" s="12">
        <f>SUM(E3:E10)</f>
        <v>36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7D520-52EB-4622-AFD1-A89D9481370A}">
  <dimension ref="A1:M13"/>
  <sheetViews>
    <sheetView workbookViewId="0">
      <selection activeCell="C11" sqref="C11:E11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119</v>
      </c>
      <c r="D3" s="5">
        <f>C3-E3</f>
        <v>107</v>
      </c>
      <c r="E3" s="5">
        <v>12</v>
      </c>
      <c r="F3" s="6">
        <v>8.3333333333333339E-4</v>
      </c>
      <c r="G3" s="6">
        <v>1.8518518518518518E-4</v>
      </c>
      <c r="H3" s="6">
        <v>3.1250000000000001E-4</v>
      </c>
      <c r="I3" s="6">
        <v>3.1134259259259257E-3</v>
      </c>
      <c r="J3" s="6">
        <v>6.3657407407407402E-4</v>
      </c>
      <c r="K3" s="7">
        <v>0.73950000000000005</v>
      </c>
      <c r="L3" s="7">
        <v>0.26050000000000001</v>
      </c>
      <c r="M3" s="8">
        <v>0.26</v>
      </c>
    </row>
    <row r="4" spans="1:13" ht="16.5" customHeight="1" x14ac:dyDescent="0.3">
      <c r="A4" s="4">
        <f>SUBTOTAL(3,$B$2:B4)-1</f>
        <v>2</v>
      </c>
      <c r="B4" s="4" t="s">
        <v>16</v>
      </c>
      <c r="C4" s="5">
        <v>47</v>
      </c>
      <c r="D4" s="5">
        <f t="shared" ref="D4:D10" si="0">C4-E4</f>
        <v>42</v>
      </c>
      <c r="E4" s="5">
        <v>5</v>
      </c>
      <c r="F4" s="6">
        <v>8.449074074074075E-4</v>
      </c>
      <c r="G4" s="6">
        <v>2.199074074074074E-4</v>
      </c>
      <c r="H4" s="6">
        <v>4.1666666666666669E-4</v>
      </c>
      <c r="I4" s="6">
        <v>2.3263888888888887E-3</v>
      </c>
      <c r="J4" s="6">
        <v>6.134259259259259E-4</v>
      </c>
      <c r="K4" s="7">
        <v>0.76600000000000001</v>
      </c>
      <c r="L4" s="7">
        <v>0.23400000000000001</v>
      </c>
      <c r="M4" s="8">
        <v>0.15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78</v>
      </c>
      <c r="D5" s="5">
        <f t="shared" si="0"/>
        <v>74</v>
      </c>
      <c r="E5" s="5">
        <v>4</v>
      </c>
      <c r="F5" s="6">
        <v>9.1435185185185185E-4</v>
      </c>
      <c r="G5" s="6">
        <v>2.0833333333333335E-4</v>
      </c>
      <c r="H5" s="6">
        <v>3.0092592592592595E-4</v>
      </c>
      <c r="I5" s="6">
        <v>2.2569444444444447E-3</v>
      </c>
      <c r="J5" s="6">
        <v>6.9444444444444447E-4</v>
      </c>
      <c r="K5" s="7">
        <v>0.83330000000000004</v>
      </c>
      <c r="L5" s="7">
        <v>0.16669999999999999</v>
      </c>
      <c r="M5" s="8">
        <v>0.16</v>
      </c>
    </row>
    <row r="6" spans="1:13" ht="16.5" customHeight="1" x14ac:dyDescent="0.3">
      <c r="A6" s="4">
        <f>SUBTOTAL(3,$B$2:B6)-1</f>
        <v>4</v>
      </c>
      <c r="B6" s="4" t="s">
        <v>13</v>
      </c>
      <c r="C6" s="5">
        <v>51</v>
      </c>
      <c r="D6" s="5">
        <f t="shared" si="0"/>
        <v>47</v>
      </c>
      <c r="E6" s="5">
        <v>4</v>
      </c>
      <c r="F6" s="6">
        <v>1.0416666666666667E-3</v>
      </c>
      <c r="G6" s="6">
        <v>1.8518518518518518E-4</v>
      </c>
      <c r="H6" s="6">
        <v>2.3148148148148146E-4</v>
      </c>
      <c r="I6" s="6">
        <v>1.1921296296296296E-3</v>
      </c>
      <c r="J6" s="6">
        <v>8.564814814814815E-4</v>
      </c>
      <c r="K6" s="7">
        <v>0.86270000000000002</v>
      </c>
      <c r="L6" s="7">
        <v>0.13730000000000001</v>
      </c>
      <c r="M6" s="8">
        <v>0.12</v>
      </c>
    </row>
    <row r="7" spans="1:13" ht="16.5" customHeight="1" x14ac:dyDescent="0.3">
      <c r="A7" s="4">
        <f>SUBTOTAL(3,$B$2:B7)-1</f>
        <v>5</v>
      </c>
      <c r="B7" s="4" t="s">
        <v>20</v>
      </c>
      <c r="C7" s="5">
        <v>8</v>
      </c>
      <c r="D7" s="5">
        <f t="shared" si="0"/>
        <v>7</v>
      </c>
      <c r="E7" s="5">
        <v>1</v>
      </c>
      <c r="F7" s="6">
        <v>4.7453703703703704E-4</v>
      </c>
      <c r="G7" s="6">
        <v>9.2592592592592588E-5</v>
      </c>
      <c r="H7" s="6">
        <v>3.8194444444444446E-4</v>
      </c>
      <c r="I7" s="6">
        <v>2.4537037037037036E-3</v>
      </c>
      <c r="J7" s="6">
        <v>3.8194444444444446E-4</v>
      </c>
      <c r="K7" s="7">
        <v>0.875</v>
      </c>
      <c r="L7" s="7">
        <v>0.125</v>
      </c>
      <c r="M7" s="8">
        <v>0.03</v>
      </c>
    </row>
    <row r="8" spans="1:13" ht="16.5" customHeight="1" x14ac:dyDescent="0.3">
      <c r="A8" s="4">
        <f>SUBTOTAL(3,$B$2:B8)-1</f>
        <v>6</v>
      </c>
      <c r="B8" s="4" t="s">
        <v>19</v>
      </c>
      <c r="C8" s="5">
        <v>85</v>
      </c>
      <c r="D8" s="5">
        <f t="shared" si="0"/>
        <v>83</v>
      </c>
      <c r="E8" s="5">
        <v>2</v>
      </c>
      <c r="F8" s="6">
        <v>8.7962962962962962E-4</v>
      </c>
      <c r="G8" s="6">
        <v>1.3888888888888889E-4</v>
      </c>
      <c r="H8" s="6">
        <v>1.9675925925925926E-4</v>
      </c>
      <c r="I8" s="6">
        <v>2.1759259259259258E-3</v>
      </c>
      <c r="J8" s="6">
        <v>7.407407407407407E-4</v>
      </c>
      <c r="K8" s="7">
        <v>0.88239999999999996</v>
      </c>
      <c r="L8" s="7">
        <v>0.1176</v>
      </c>
      <c r="M8" s="8">
        <v>0.16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23</v>
      </c>
      <c r="D9" s="5">
        <f t="shared" si="0"/>
        <v>22</v>
      </c>
      <c r="E9" s="5">
        <v>1</v>
      </c>
      <c r="F9" s="6">
        <v>7.5231481481481471E-4</v>
      </c>
      <c r="G9" s="6">
        <v>3.4722222222222222E-5</v>
      </c>
      <c r="H9" s="6">
        <v>6.9444444444444444E-5</v>
      </c>
      <c r="I9" s="6">
        <v>6.2500000000000001E-4</v>
      </c>
      <c r="J9" s="6">
        <v>7.0601851851851847E-4</v>
      </c>
      <c r="K9" s="7">
        <v>0.95650000000000002</v>
      </c>
      <c r="L9" s="7">
        <v>4.3499999999999997E-2</v>
      </c>
      <c r="M9" s="8">
        <v>0.03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40</v>
      </c>
      <c r="D10" s="5">
        <f t="shared" si="0"/>
        <v>40</v>
      </c>
      <c r="E10" s="5">
        <v>0</v>
      </c>
      <c r="F10" s="6">
        <v>6.3657407407407402E-4</v>
      </c>
      <c r="G10" s="6">
        <v>6.9444444444444444E-5</v>
      </c>
      <c r="H10" s="6">
        <v>6.9444444444444444E-5</v>
      </c>
      <c r="I10" s="6">
        <v>3.7037037037037035E-4</v>
      </c>
      <c r="J10" s="6">
        <v>5.6712962962962956E-4</v>
      </c>
      <c r="K10" s="7">
        <v>1</v>
      </c>
      <c r="L10" s="7">
        <v>0</v>
      </c>
      <c r="M10" s="8">
        <v>0.09</v>
      </c>
    </row>
    <row r="11" spans="1:13" ht="16.5" x14ac:dyDescent="0.3">
      <c r="A11" s="4">
        <f>SUBTOTAL(3,$B$2:B11)-1</f>
        <v>9</v>
      </c>
      <c r="B11" s="4" t="s">
        <v>21</v>
      </c>
      <c r="C11" s="15">
        <v>10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40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451</v>
      </c>
      <c r="D13" s="12">
        <f>SUM(D3:D10)</f>
        <v>422</v>
      </c>
      <c r="E13" s="12">
        <f>SUM(E3:E10)</f>
        <v>29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9A5DE-5A29-4F21-85CF-89963D93490D}">
  <dimension ref="A1:M13"/>
  <sheetViews>
    <sheetView workbookViewId="0">
      <selection activeCell="N10" sqref="N10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13</v>
      </c>
      <c r="C3" s="5">
        <v>93</v>
      </c>
      <c r="D3" s="5">
        <v>80</v>
      </c>
      <c r="E3" s="5">
        <v>13</v>
      </c>
      <c r="F3" s="6">
        <v>1.0879629629629629E-3</v>
      </c>
      <c r="G3" s="6">
        <v>2.5462962962962961E-4</v>
      </c>
      <c r="H3" s="6">
        <v>4.3981481481481481E-4</v>
      </c>
      <c r="I3" s="6">
        <v>3.2407407407407406E-3</v>
      </c>
      <c r="J3" s="6">
        <v>8.3333333333333339E-4</v>
      </c>
      <c r="K3" s="7">
        <v>0.63439999999999996</v>
      </c>
      <c r="L3" s="7">
        <v>0.36559999999999998</v>
      </c>
      <c r="M3" s="8">
        <v>0.13</v>
      </c>
    </row>
    <row r="4" spans="1:13" ht="16.5" customHeight="1" x14ac:dyDescent="0.3">
      <c r="A4" s="4">
        <f>SUBTOTAL(3,$B$2:B4)-1</f>
        <v>2</v>
      </c>
      <c r="B4" s="4" t="s">
        <v>17</v>
      </c>
      <c r="C4" s="5">
        <v>47</v>
      </c>
      <c r="D4" s="5">
        <v>42</v>
      </c>
      <c r="E4" s="5">
        <v>5</v>
      </c>
      <c r="F4" s="6">
        <v>9.4907407407407408E-4</v>
      </c>
      <c r="G4" s="6">
        <v>1.5046296296296297E-4</v>
      </c>
      <c r="H4" s="6">
        <v>2.8935185185185189E-4</v>
      </c>
      <c r="I4" s="6">
        <v>2.9282407407407412E-3</v>
      </c>
      <c r="J4" s="6">
        <v>7.9861111111111105E-4</v>
      </c>
      <c r="K4" s="7">
        <v>0.72340000000000004</v>
      </c>
      <c r="L4" s="7">
        <v>0.27660000000000001</v>
      </c>
      <c r="M4" s="8">
        <v>7.0000000000000007E-2</v>
      </c>
    </row>
    <row r="5" spans="1:13" ht="16.5" customHeight="1" x14ac:dyDescent="0.3">
      <c r="A5" s="4">
        <f>SUBTOTAL(3,$B$2:B5)-1</f>
        <v>3</v>
      </c>
      <c r="B5" s="4" t="s">
        <v>15</v>
      </c>
      <c r="C5" s="5">
        <v>129</v>
      </c>
      <c r="D5" s="5">
        <v>111</v>
      </c>
      <c r="E5" s="5">
        <v>18</v>
      </c>
      <c r="F5" s="6">
        <v>1.0648148148148147E-3</v>
      </c>
      <c r="G5" s="6">
        <v>3.9351851851851852E-4</v>
      </c>
      <c r="H5" s="6">
        <v>4.8611111111111104E-4</v>
      </c>
      <c r="I5" s="6">
        <v>4.2245370370370371E-3</v>
      </c>
      <c r="J5" s="6">
        <v>6.7129629629629625E-4</v>
      </c>
      <c r="K5" s="7">
        <v>0.72870000000000001</v>
      </c>
      <c r="L5" s="7">
        <v>0.27129999999999999</v>
      </c>
      <c r="M5" s="8">
        <v>0.22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41</v>
      </c>
      <c r="D6" s="5">
        <v>34</v>
      </c>
      <c r="E6" s="5">
        <v>7</v>
      </c>
      <c r="F6" s="6">
        <v>8.449074074074075E-4</v>
      </c>
      <c r="G6" s="6">
        <v>2.4305555555555552E-4</v>
      </c>
      <c r="H6" s="6">
        <v>4.3981481481481481E-4</v>
      </c>
      <c r="I6" s="6">
        <v>2.3842592592592591E-3</v>
      </c>
      <c r="J6" s="6">
        <v>6.018518518518519E-4</v>
      </c>
      <c r="K6" s="7">
        <v>0.73170000000000002</v>
      </c>
      <c r="L6" s="7">
        <v>0.26829999999999998</v>
      </c>
      <c r="M6" s="8">
        <v>0.18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94</v>
      </c>
      <c r="D7" s="5">
        <v>88</v>
      </c>
      <c r="E7" s="5">
        <v>6</v>
      </c>
      <c r="F7" s="6">
        <v>1.0416666666666667E-3</v>
      </c>
      <c r="G7" s="6">
        <v>2.3148148148148146E-4</v>
      </c>
      <c r="H7" s="6">
        <v>3.1250000000000001E-4</v>
      </c>
      <c r="I7" s="6">
        <v>2.3611111111111111E-3</v>
      </c>
      <c r="J7" s="6">
        <v>7.9861111111111105E-4</v>
      </c>
      <c r="K7" s="7">
        <v>0.76600000000000001</v>
      </c>
      <c r="L7" s="7">
        <v>0.23400000000000001</v>
      </c>
      <c r="M7" s="8">
        <v>0.16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22</v>
      </c>
      <c r="D8" s="5">
        <v>21</v>
      </c>
      <c r="E8" s="5">
        <v>1</v>
      </c>
      <c r="F8" s="6">
        <v>1.0532407407407407E-3</v>
      </c>
      <c r="G8" s="6">
        <v>4.3981481481481481E-4</v>
      </c>
      <c r="H8" s="6">
        <v>4.3981481481481481E-4</v>
      </c>
      <c r="I8" s="6">
        <v>1.1689814814814816E-3</v>
      </c>
      <c r="J8" s="6">
        <v>6.134259259259259E-4</v>
      </c>
      <c r="K8" s="7">
        <v>0.77270000000000005</v>
      </c>
      <c r="L8" s="7">
        <v>0.2273</v>
      </c>
      <c r="M8" s="8">
        <v>0.03</v>
      </c>
    </row>
    <row r="9" spans="1:13" ht="16.5" customHeight="1" x14ac:dyDescent="0.3">
      <c r="A9" s="4">
        <f>SUBTOTAL(3,$B$2:B9)-1</f>
        <v>7</v>
      </c>
      <c r="B9" s="4" t="s">
        <v>18</v>
      </c>
      <c r="C9" s="5">
        <v>50</v>
      </c>
      <c r="D9" s="5">
        <v>49</v>
      </c>
      <c r="E9" s="5">
        <v>1</v>
      </c>
      <c r="F9" s="6">
        <v>6.4814814814814813E-4</v>
      </c>
      <c r="G9" s="6">
        <v>9.2592592592592588E-5</v>
      </c>
      <c r="H9" s="6">
        <v>1.1574074074074073E-4</v>
      </c>
      <c r="I9" s="6">
        <v>1.2037037037037038E-3</v>
      </c>
      <c r="J9" s="6">
        <v>5.4398148148148144E-4</v>
      </c>
      <c r="K9" s="7">
        <v>0.86</v>
      </c>
      <c r="L9" s="7">
        <v>0.14000000000000001</v>
      </c>
      <c r="M9" s="8">
        <v>7.0000000000000007E-2</v>
      </c>
    </row>
    <row r="10" spans="1:13" ht="16.5" customHeight="1" x14ac:dyDescent="0.3">
      <c r="A10" s="4">
        <f>SUBTOTAL(3,$B$2:B10)-1</f>
        <v>8</v>
      </c>
      <c r="B10" s="4" t="s">
        <v>14</v>
      </c>
      <c r="C10" s="5">
        <v>70</v>
      </c>
      <c r="D10" s="5">
        <v>67</v>
      </c>
      <c r="E10" s="5">
        <v>3</v>
      </c>
      <c r="F10" s="6">
        <v>1.0069444444444444E-3</v>
      </c>
      <c r="G10" s="6">
        <v>1.5046296296296297E-4</v>
      </c>
      <c r="H10" s="6">
        <v>1.8518518518518518E-4</v>
      </c>
      <c r="I10" s="6">
        <v>1.3657407407407409E-3</v>
      </c>
      <c r="J10" s="6">
        <v>8.564814814814815E-4</v>
      </c>
      <c r="K10" s="7">
        <v>0.88570000000000004</v>
      </c>
      <c r="L10" s="7">
        <v>0.1143</v>
      </c>
      <c r="M10" s="8">
        <v>0.14000000000000001</v>
      </c>
    </row>
    <row r="11" spans="1:13" ht="16.5" x14ac:dyDescent="0.3">
      <c r="A11" s="4">
        <f>SUBTOTAL(3,$B$2:B11)-1</f>
        <v>9</v>
      </c>
      <c r="B11" s="4" t="s">
        <v>21</v>
      </c>
      <c r="C11" s="15">
        <v>26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26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546</v>
      </c>
      <c r="D13" s="12">
        <f>SUM(D3:D10)</f>
        <v>492</v>
      </c>
      <c r="E13" s="12">
        <f>SUM(E3:E10)</f>
        <v>54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EAA3-18FF-4C7E-BDBF-652F9CF83078}">
  <dimension ref="A1:M13"/>
  <sheetViews>
    <sheetView workbookViewId="0">
      <selection activeCell="P4" sqref="P4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141</v>
      </c>
      <c r="D3" s="5">
        <v>105</v>
      </c>
      <c r="E3" s="5">
        <v>36</v>
      </c>
      <c r="F3" s="6">
        <v>9.8379629629629642E-4</v>
      </c>
      <c r="G3" s="6">
        <v>3.4722222222222224E-4</v>
      </c>
      <c r="H3" s="6">
        <v>6.134259259259259E-4</v>
      </c>
      <c r="I3" s="6">
        <v>2.8356481481481479E-3</v>
      </c>
      <c r="J3" s="6">
        <v>6.2500000000000001E-4</v>
      </c>
      <c r="K3" s="7">
        <v>0.43969999999999998</v>
      </c>
      <c r="L3" s="7">
        <v>0.56030000000000002</v>
      </c>
      <c r="M3" s="8">
        <v>0.25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104</v>
      </c>
      <c r="D4" s="5">
        <v>79</v>
      </c>
      <c r="E4" s="5">
        <v>25</v>
      </c>
      <c r="F4" s="6">
        <v>1.2384259259259258E-3</v>
      </c>
      <c r="G4" s="6">
        <v>4.9768518518518521E-4</v>
      </c>
      <c r="H4" s="6">
        <v>7.291666666666667E-4</v>
      </c>
      <c r="I4" s="6">
        <v>6.9328703703703696E-3</v>
      </c>
      <c r="J4" s="6">
        <v>7.291666666666667E-4</v>
      </c>
      <c r="K4" s="7">
        <v>0.5</v>
      </c>
      <c r="L4" s="7">
        <v>0.5</v>
      </c>
      <c r="M4" s="8">
        <v>0.12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88</v>
      </c>
      <c r="D5" s="5">
        <v>86</v>
      </c>
      <c r="E5" s="5">
        <v>2</v>
      </c>
      <c r="F5" s="6">
        <v>9.8379629629629642E-4</v>
      </c>
      <c r="G5" s="6">
        <v>1.5046296296296297E-4</v>
      </c>
      <c r="H5" s="6">
        <v>1.9675925925925926E-4</v>
      </c>
      <c r="I5" s="6">
        <v>2.1412037037037038E-3</v>
      </c>
      <c r="J5" s="6">
        <v>8.2175925925925917E-4</v>
      </c>
      <c r="K5" s="7">
        <v>0.82950000000000002</v>
      </c>
      <c r="L5" s="7">
        <v>0.17050000000000001</v>
      </c>
      <c r="M5" s="8">
        <v>0.15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81</v>
      </c>
      <c r="D6" s="5">
        <v>76</v>
      </c>
      <c r="E6" s="5">
        <v>5</v>
      </c>
      <c r="F6" s="6">
        <v>8.449074074074075E-4</v>
      </c>
      <c r="G6" s="6">
        <v>1.3888888888888889E-4</v>
      </c>
      <c r="H6" s="6">
        <v>2.199074074074074E-4</v>
      </c>
      <c r="I6" s="6">
        <v>1.7245370370370372E-3</v>
      </c>
      <c r="J6" s="6">
        <v>6.9444444444444447E-4</v>
      </c>
      <c r="K6" s="7">
        <v>0.83950000000000002</v>
      </c>
      <c r="L6" s="7">
        <v>0.1605</v>
      </c>
      <c r="M6" s="8">
        <v>0.15</v>
      </c>
    </row>
    <row r="7" spans="1:13" ht="16.5" customHeight="1" x14ac:dyDescent="0.3">
      <c r="A7" s="4">
        <f>SUBTOTAL(3,$B$2:B7)-1</f>
        <v>5</v>
      </c>
      <c r="B7" s="4" t="s">
        <v>16</v>
      </c>
      <c r="C7" s="5">
        <v>47</v>
      </c>
      <c r="D7" s="5">
        <v>46</v>
      </c>
      <c r="E7" s="5">
        <v>1</v>
      </c>
      <c r="F7" s="6">
        <v>7.9861111111111105E-4</v>
      </c>
      <c r="G7" s="6">
        <v>1.8518518518518518E-4</v>
      </c>
      <c r="H7" s="6">
        <v>2.3148148148148146E-4</v>
      </c>
      <c r="I7" s="6">
        <v>9.2592592592592585E-4</v>
      </c>
      <c r="J7" s="6">
        <v>6.134259259259259E-4</v>
      </c>
      <c r="K7" s="7">
        <v>0.89359999999999995</v>
      </c>
      <c r="L7" s="7">
        <v>0.10639999999999999</v>
      </c>
      <c r="M7" s="8">
        <v>0.17</v>
      </c>
    </row>
    <row r="8" spans="1:13" ht="16.5" customHeight="1" x14ac:dyDescent="0.3">
      <c r="A8" s="4">
        <f>SUBTOTAL(3,$B$2:B8)-1</f>
        <v>6</v>
      </c>
      <c r="B8" s="4" t="s">
        <v>17</v>
      </c>
      <c r="C8" s="5">
        <v>38</v>
      </c>
      <c r="D8" s="5">
        <v>38</v>
      </c>
      <c r="E8" s="5">
        <v>0</v>
      </c>
      <c r="F8" s="6">
        <v>8.449074074074075E-4</v>
      </c>
      <c r="G8" s="6">
        <v>6.9444444444444444E-5</v>
      </c>
      <c r="H8" s="6">
        <v>1.273148148148148E-4</v>
      </c>
      <c r="I8" s="6">
        <v>1.689814814814815E-3</v>
      </c>
      <c r="J8" s="6">
        <v>7.7546296296296304E-4</v>
      </c>
      <c r="K8" s="7">
        <v>0.89470000000000005</v>
      </c>
      <c r="L8" s="7">
        <v>0.1053</v>
      </c>
      <c r="M8" s="8">
        <v>0.05</v>
      </c>
    </row>
    <row r="9" spans="1:13" ht="16.5" customHeight="1" x14ac:dyDescent="0.3">
      <c r="A9" s="4">
        <f>SUBTOTAL(3,$B$2:B9)-1</f>
        <v>7</v>
      </c>
      <c r="B9" s="4" t="s">
        <v>20</v>
      </c>
      <c r="C9" s="5">
        <v>13</v>
      </c>
      <c r="D9" s="5">
        <v>12</v>
      </c>
      <c r="E9" s="5">
        <v>1</v>
      </c>
      <c r="F9" s="6">
        <v>7.6388888888888893E-4</v>
      </c>
      <c r="G9" s="6">
        <v>1.0416666666666667E-4</v>
      </c>
      <c r="H9" s="6">
        <v>1.5046296296296297E-4</v>
      </c>
      <c r="I9" s="6">
        <v>7.0601851851851847E-4</v>
      </c>
      <c r="J9" s="6">
        <v>6.5972222222222213E-4</v>
      </c>
      <c r="K9" s="7">
        <v>0.92310000000000003</v>
      </c>
      <c r="L9" s="7">
        <v>7.6899999999999996E-2</v>
      </c>
      <c r="M9" s="8">
        <v>0.04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46</v>
      </c>
      <c r="D10" s="5">
        <v>46</v>
      </c>
      <c r="E10" s="5">
        <v>0</v>
      </c>
      <c r="F10" s="6">
        <v>6.4814814814814813E-4</v>
      </c>
      <c r="G10" s="6">
        <v>6.9444444444444444E-5</v>
      </c>
      <c r="H10" s="6">
        <v>1.1574074074074073E-4</v>
      </c>
      <c r="I10" s="6">
        <v>1.5277777777777779E-3</v>
      </c>
      <c r="J10" s="6">
        <v>5.6712962962962956E-4</v>
      </c>
      <c r="K10" s="7">
        <v>0.95650000000000002</v>
      </c>
      <c r="L10" s="7">
        <v>4.3499999999999997E-2</v>
      </c>
      <c r="M10" s="8">
        <v>7.0000000000000007E-2</v>
      </c>
    </row>
    <row r="11" spans="1:13" ht="16.5" x14ac:dyDescent="0.3">
      <c r="A11" s="4">
        <f>SUBTOTAL(3,$B$2:B11)-1</f>
        <v>9</v>
      </c>
      <c r="B11" s="4" t="s">
        <v>21</v>
      </c>
      <c r="C11" s="15">
        <v>20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23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558</v>
      </c>
      <c r="D13" s="12">
        <f>SUM(D3:D10)</f>
        <v>488</v>
      </c>
      <c r="E13" s="12">
        <f>SUM(E3:E10)</f>
        <v>70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70A7-83E0-410D-9A15-0886F0544DE7}">
  <dimension ref="A1:M13"/>
  <sheetViews>
    <sheetView workbookViewId="0">
      <selection activeCell="D3" sqref="D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143</v>
      </c>
      <c r="D3" s="5">
        <v>127</v>
      </c>
      <c r="E3" s="5">
        <v>16</v>
      </c>
      <c r="F3" s="6">
        <v>8.9120370370370362E-4</v>
      </c>
      <c r="G3" s="6">
        <v>2.8935185185185189E-4</v>
      </c>
      <c r="H3" s="6">
        <v>4.3981481481481481E-4</v>
      </c>
      <c r="I3" s="6">
        <v>1.9907407407407408E-3</v>
      </c>
      <c r="J3" s="6">
        <v>6.018518518518519E-4</v>
      </c>
      <c r="K3" s="7">
        <v>0.64339999999999997</v>
      </c>
      <c r="L3" s="7">
        <v>0.35659999999999997</v>
      </c>
      <c r="M3" s="8">
        <v>0.27</v>
      </c>
    </row>
    <row r="4" spans="1:13" ht="16.5" customHeight="1" x14ac:dyDescent="0.3">
      <c r="A4" s="4">
        <f>SUBTOTAL(3,$B$2:B4)-1</f>
        <v>2</v>
      </c>
      <c r="B4" s="4" t="s">
        <v>20</v>
      </c>
      <c r="C4" s="5">
        <v>6</v>
      </c>
      <c r="D4" s="5">
        <v>5</v>
      </c>
      <c r="E4" s="5">
        <v>1</v>
      </c>
      <c r="F4" s="6">
        <v>8.1018518518518516E-4</v>
      </c>
      <c r="G4" s="6">
        <v>1.3888888888888889E-4</v>
      </c>
      <c r="H4" s="6">
        <v>5.7870370370370378E-4</v>
      </c>
      <c r="I4" s="6">
        <v>1.7476851851851852E-3</v>
      </c>
      <c r="J4" s="6">
        <v>6.7129629629629625E-4</v>
      </c>
      <c r="K4" s="7">
        <v>0.66669999999999996</v>
      </c>
      <c r="L4" s="7">
        <v>0.33329999999999999</v>
      </c>
      <c r="M4" s="8">
        <v>0.04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61</v>
      </c>
      <c r="D5" s="5">
        <v>58</v>
      </c>
      <c r="E5" s="5">
        <v>3</v>
      </c>
      <c r="F5" s="6">
        <v>9.1435185185185185E-4</v>
      </c>
      <c r="G5" s="6">
        <v>1.6203703703703703E-4</v>
      </c>
      <c r="H5" s="6">
        <v>2.5462962962962961E-4</v>
      </c>
      <c r="I5" s="6">
        <v>1.5046296296296294E-3</v>
      </c>
      <c r="J5" s="6">
        <v>7.407407407407407E-4</v>
      </c>
      <c r="K5" s="7">
        <v>0.81969999999999998</v>
      </c>
      <c r="L5" s="7">
        <v>0.18029999999999999</v>
      </c>
      <c r="M5" s="8">
        <v>0.19</v>
      </c>
    </row>
    <row r="6" spans="1:13" ht="16.5" customHeight="1" x14ac:dyDescent="0.3">
      <c r="A6" s="4">
        <f>SUBTOTAL(3,$B$2:B6)-1</f>
        <v>4</v>
      </c>
      <c r="B6" s="4" t="s">
        <v>13</v>
      </c>
      <c r="C6" s="5">
        <v>33</v>
      </c>
      <c r="D6" s="5">
        <v>30</v>
      </c>
      <c r="E6" s="5">
        <v>3</v>
      </c>
      <c r="F6" s="6">
        <v>7.291666666666667E-4</v>
      </c>
      <c r="G6" s="6">
        <v>1.1574074074074073E-4</v>
      </c>
      <c r="H6" s="6">
        <v>1.9675925925925926E-4</v>
      </c>
      <c r="I6" s="6">
        <v>8.6805555555555551E-4</v>
      </c>
      <c r="J6" s="6">
        <v>6.018518518518519E-4</v>
      </c>
      <c r="K6" s="7">
        <v>0.84850000000000003</v>
      </c>
      <c r="L6" s="7">
        <v>0.1515</v>
      </c>
      <c r="M6" s="8">
        <v>0.08</v>
      </c>
    </row>
    <row r="7" spans="1:13" ht="16.5" customHeight="1" x14ac:dyDescent="0.3">
      <c r="A7" s="4">
        <f>SUBTOTAL(3,$B$2:B7)-1</f>
        <v>5</v>
      </c>
      <c r="B7" s="4" t="s">
        <v>17</v>
      </c>
      <c r="C7" s="5">
        <v>41</v>
      </c>
      <c r="D7" s="5">
        <v>38</v>
      </c>
      <c r="E7" s="5">
        <v>3</v>
      </c>
      <c r="F7" s="6">
        <v>9.4907407407407408E-4</v>
      </c>
      <c r="G7" s="6">
        <v>1.5046296296296297E-4</v>
      </c>
      <c r="H7" s="6">
        <v>2.199074074074074E-4</v>
      </c>
      <c r="I7" s="6">
        <v>1.1805555555555556E-3</v>
      </c>
      <c r="J7" s="6">
        <v>7.9861111111111105E-4</v>
      </c>
      <c r="K7" s="7">
        <v>0.85370000000000001</v>
      </c>
      <c r="L7" s="7">
        <v>0.14630000000000001</v>
      </c>
      <c r="M7" s="8">
        <v>0.05</v>
      </c>
    </row>
    <row r="8" spans="1:13" ht="16.5" customHeight="1" x14ac:dyDescent="0.3">
      <c r="A8" s="4">
        <f>SUBTOTAL(3,$B$2:B8)-1</f>
        <v>6</v>
      </c>
      <c r="B8" s="4" t="s">
        <v>16</v>
      </c>
      <c r="C8" s="5">
        <v>28</v>
      </c>
      <c r="D8" s="5">
        <v>27</v>
      </c>
      <c r="E8" s="5">
        <v>1</v>
      </c>
      <c r="F8" s="6">
        <v>7.8703703703703705E-4</v>
      </c>
      <c r="G8" s="6">
        <v>2.0833333333333335E-4</v>
      </c>
      <c r="H8" s="6">
        <v>2.6620370370370372E-4</v>
      </c>
      <c r="I8" s="6">
        <v>9.6064814814814808E-4</v>
      </c>
      <c r="J8" s="6">
        <v>5.7870370370370378E-4</v>
      </c>
      <c r="K8" s="7">
        <v>0.85709999999999997</v>
      </c>
      <c r="L8" s="7">
        <v>0.1429</v>
      </c>
      <c r="M8" s="8">
        <v>0.15</v>
      </c>
    </row>
    <row r="9" spans="1:13" ht="16.5" customHeight="1" x14ac:dyDescent="0.3">
      <c r="A9" s="4">
        <f>SUBTOTAL(3,$B$2:B9)-1</f>
        <v>7</v>
      </c>
      <c r="B9" s="4" t="s">
        <v>18</v>
      </c>
      <c r="C9" s="5">
        <v>47</v>
      </c>
      <c r="D9" s="5">
        <v>46</v>
      </c>
      <c r="E9" s="5">
        <v>1</v>
      </c>
      <c r="F9" s="6">
        <v>8.449074074074075E-4</v>
      </c>
      <c r="G9" s="6">
        <v>1.273148148148148E-4</v>
      </c>
      <c r="H9" s="6">
        <v>1.8518518518518518E-4</v>
      </c>
      <c r="I9" s="6">
        <v>6.3657407407407402E-4</v>
      </c>
      <c r="J9" s="6">
        <v>7.0601851851851847E-4</v>
      </c>
      <c r="K9" s="7">
        <v>0.87229999999999996</v>
      </c>
      <c r="L9" s="7">
        <v>0.12770000000000001</v>
      </c>
      <c r="M9" s="8">
        <v>0.06</v>
      </c>
    </row>
    <row r="10" spans="1:13" ht="16.5" customHeight="1" x14ac:dyDescent="0.3">
      <c r="A10" s="4">
        <f>SUBTOTAL(3,$B$2:B10)-1</f>
        <v>8</v>
      </c>
      <c r="B10" s="4" t="s">
        <v>19</v>
      </c>
      <c r="C10" s="5">
        <v>69</v>
      </c>
      <c r="D10" s="5">
        <v>66</v>
      </c>
      <c r="E10" s="5">
        <v>3</v>
      </c>
      <c r="F10" s="6">
        <v>8.2175925925925917E-4</v>
      </c>
      <c r="G10" s="6">
        <v>1.3888888888888889E-4</v>
      </c>
      <c r="H10" s="6">
        <v>1.7361111111111112E-4</v>
      </c>
      <c r="I10" s="6">
        <v>2.0023148148148148E-3</v>
      </c>
      <c r="J10" s="6">
        <v>6.7129629629629625E-4</v>
      </c>
      <c r="K10" s="7">
        <v>0.92749999999999999</v>
      </c>
      <c r="L10" s="7">
        <v>7.2499999999999995E-2</v>
      </c>
      <c r="M10" s="8">
        <v>0.16</v>
      </c>
    </row>
    <row r="11" spans="1:13" ht="16.5" x14ac:dyDescent="0.3">
      <c r="A11" s="4">
        <f>SUBTOTAL(3,$B$2:B11)-1</f>
        <v>9</v>
      </c>
      <c r="B11" s="4" t="s">
        <v>21</v>
      </c>
      <c r="C11" s="15">
        <v>43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428</v>
      </c>
      <c r="D13" s="12">
        <f>SUM(D3:D10)</f>
        <v>397</v>
      </c>
      <c r="E13" s="12">
        <f>SUM(E3:E10)</f>
        <v>31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04E73-4302-4B12-991B-B2777F5607A6}">
  <dimension ref="A1:M13"/>
  <sheetViews>
    <sheetView workbookViewId="0">
      <selection activeCell="D3" sqref="D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123</v>
      </c>
      <c r="D3" s="5">
        <v>98</v>
      </c>
      <c r="E3" s="5">
        <v>25</v>
      </c>
      <c r="F3" s="6">
        <v>1.0532407407407407E-3</v>
      </c>
      <c r="G3" s="6">
        <v>4.2824074074074075E-4</v>
      </c>
      <c r="H3" s="6">
        <v>6.134259259259259E-4</v>
      </c>
      <c r="I3" s="6">
        <v>2.9629629629629628E-3</v>
      </c>
      <c r="J3" s="6">
        <v>6.134259259259259E-4</v>
      </c>
      <c r="K3" s="7">
        <v>0.39839999999999998</v>
      </c>
      <c r="L3" s="7">
        <v>0.60160000000000002</v>
      </c>
      <c r="M3" s="8">
        <v>0.22</v>
      </c>
    </row>
    <row r="4" spans="1:13" ht="16.5" customHeight="1" x14ac:dyDescent="0.3">
      <c r="A4" s="4">
        <f>SUBTOTAL(3,$B$2:B4)-1</f>
        <v>2</v>
      </c>
      <c r="B4" s="4" t="s">
        <v>14</v>
      </c>
      <c r="C4" s="5">
        <v>76</v>
      </c>
      <c r="D4" s="5">
        <v>67</v>
      </c>
      <c r="E4" s="5">
        <v>9</v>
      </c>
      <c r="F4" s="6">
        <v>9.9537037037037042E-4</v>
      </c>
      <c r="G4" s="6">
        <v>1.7361111111111112E-4</v>
      </c>
      <c r="H4" s="6">
        <v>3.8194444444444446E-4</v>
      </c>
      <c r="I4" s="6">
        <v>2.2222222222222222E-3</v>
      </c>
      <c r="J4" s="6">
        <v>8.1018518518518516E-4</v>
      </c>
      <c r="K4" s="7">
        <v>0.67110000000000003</v>
      </c>
      <c r="L4" s="7">
        <v>0.32890000000000003</v>
      </c>
      <c r="M4" s="8">
        <v>0.21</v>
      </c>
    </row>
    <row r="5" spans="1:13" ht="16.5" customHeight="1" x14ac:dyDescent="0.3">
      <c r="A5" s="4">
        <f>SUBTOTAL(3,$B$2:B5)-1</f>
        <v>3</v>
      </c>
      <c r="B5" s="4" t="s">
        <v>19</v>
      </c>
      <c r="C5" s="5">
        <v>74</v>
      </c>
      <c r="D5" s="5">
        <v>71</v>
      </c>
      <c r="E5" s="5">
        <v>3</v>
      </c>
      <c r="F5" s="6">
        <v>8.6805555555555551E-4</v>
      </c>
      <c r="G5" s="6">
        <v>2.0833333333333335E-4</v>
      </c>
      <c r="H5" s="6">
        <v>3.2407407407407406E-4</v>
      </c>
      <c r="I5" s="6">
        <v>3.2754629629629631E-3</v>
      </c>
      <c r="J5" s="6">
        <v>6.4814814814814813E-4</v>
      </c>
      <c r="K5" s="7">
        <v>0.78380000000000005</v>
      </c>
      <c r="L5" s="7">
        <v>0.2162</v>
      </c>
      <c r="M5" s="8">
        <v>0.2</v>
      </c>
    </row>
    <row r="6" spans="1:13" ht="16.5" customHeight="1" x14ac:dyDescent="0.3">
      <c r="A6" s="4">
        <f>SUBTOTAL(3,$B$2:B6)-1</f>
        <v>4</v>
      </c>
      <c r="B6" s="4" t="s">
        <v>13</v>
      </c>
      <c r="C6" s="5">
        <v>32</v>
      </c>
      <c r="D6" s="5">
        <v>30</v>
      </c>
      <c r="E6" s="5">
        <v>2</v>
      </c>
      <c r="F6" s="6">
        <v>8.3333333333333339E-4</v>
      </c>
      <c r="G6" s="6">
        <v>1.273148148148148E-4</v>
      </c>
      <c r="H6" s="6">
        <v>1.5046296296296297E-4</v>
      </c>
      <c r="I6" s="6">
        <v>7.175925925925927E-4</v>
      </c>
      <c r="J6" s="6">
        <v>7.0601851851851847E-4</v>
      </c>
      <c r="K6" s="7">
        <v>0.8125</v>
      </c>
      <c r="L6" s="7">
        <v>0.1875</v>
      </c>
      <c r="M6" s="8">
        <v>0.08</v>
      </c>
    </row>
    <row r="7" spans="1:13" ht="16.5" customHeight="1" x14ac:dyDescent="0.3">
      <c r="A7" s="4">
        <f>SUBTOTAL(3,$B$2:B7)-1</f>
        <v>5</v>
      </c>
      <c r="B7" s="4" t="s">
        <v>17</v>
      </c>
      <c r="C7" s="5">
        <v>38</v>
      </c>
      <c r="D7" s="5">
        <v>38</v>
      </c>
      <c r="E7" s="5">
        <v>0</v>
      </c>
      <c r="F7" s="6">
        <v>7.8703703703703705E-4</v>
      </c>
      <c r="G7" s="6">
        <v>1.1574074074074073E-4</v>
      </c>
      <c r="H7" s="6">
        <v>1.273148148148148E-4</v>
      </c>
      <c r="I7" s="6">
        <v>5.6712962962962956E-4</v>
      </c>
      <c r="J7" s="6">
        <v>6.7129629629629625E-4</v>
      </c>
      <c r="K7" s="7">
        <v>0.81579999999999997</v>
      </c>
      <c r="L7" s="7">
        <v>0.1842</v>
      </c>
      <c r="M7" s="8">
        <v>0.05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8</v>
      </c>
      <c r="D8" s="5">
        <v>8</v>
      </c>
      <c r="E8" s="5">
        <v>0</v>
      </c>
      <c r="F8" s="6">
        <v>7.407407407407407E-4</v>
      </c>
      <c r="G8" s="6">
        <v>1.8518518518518518E-4</v>
      </c>
      <c r="H8" s="6">
        <v>2.3148148148148146E-4</v>
      </c>
      <c r="I8" s="6">
        <v>5.7870370370370378E-4</v>
      </c>
      <c r="J8" s="6">
        <v>5.5555555555555556E-4</v>
      </c>
      <c r="K8" s="7">
        <v>0.875</v>
      </c>
      <c r="L8" s="7">
        <v>0.125</v>
      </c>
      <c r="M8" s="8">
        <v>0.05</v>
      </c>
    </row>
    <row r="9" spans="1:13" ht="16.5" customHeight="1" x14ac:dyDescent="0.3">
      <c r="A9" s="4">
        <f>SUBTOTAL(3,$B$2:B9)-1</f>
        <v>7</v>
      </c>
      <c r="B9" s="4" t="s">
        <v>16</v>
      </c>
      <c r="C9" s="5">
        <v>21</v>
      </c>
      <c r="D9" s="5">
        <v>20</v>
      </c>
      <c r="E9" s="5">
        <v>1</v>
      </c>
      <c r="F9" s="6">
        <v>6.3657407407407402E-4</v>
      </c>
      <c r="G9" s="6">
        <v>9.2592592592592588E-5</v>
      </c>
      <c r="H9" s="6">
        <v>1.1574074074074073E-4</v>
      </c>
      <c r="I9" s="6">
        <v>7.175925925925927E-4</v>
      </c>
      <c r="J9" s="6">
        <v>5.4398148148148144E-4</v>
      </c>
      <c r="K9" s="7">
        <v>0.95240000000000002</v>
      </c>
      <c r="L9" s="7">
        <v>4.7600000000000003E-2</v>
      </c>
      <c r="M9" s="8">
        <v>0.13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32</v>
      </c>
      <c r="D10" s="5">
        <v>31</v>
      </c>
      <c r="E10" s="5">
        <v>1</v>
      </c>
      <c r="F10" s="6">
        <v>6.134259259259259E-4</v>
      </c>
      <c r="G10" s="6">
        <v>5.7870370370370366E-5</v>
      </c>
      <c r="H10" s="6">
        <v>6.9444444444444444E-5</v>
      </c>
      <c r="I10" s="6">
        <v>4.0509259259259258E-4</v>
      </c>
      <c r="J10" s="6">
        <v>5.5555555555555556E-4</v>
      </c>
      <c r="K10" s="7">
        <v>0.96879999999999999</v>
      </c>
      <c r="L10" s="7">
        <v>3.1199999999999999E-2</v>
      </c>
      <c r="M10" s="8">
        <v>0.06</v>
      </c>
    </row>
    <row r="11" spans="1:13" ht="16.5" x14ac:dyDescent="0.3">
      <c r="A11" s="4">
        <f>SUBTOTAL(3,$B$2:B11)-1</f>
        <v>9</v>
      </c>
      <c r="B11" s="4" t="s">
        <v>21</v>
      </c>
      <c r="C11" s="15">
        <v>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404</v>
      </c>
      <c r="D13" s="12">
        <f>SUM(D3:D10)</f>
        <v>363</v>
      </c>
      <c r="E13" s="12">
        <f>SUM(E3:E10)</f>
        <v>41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52052-9808-40DA-856A-1E82F79F1942}">
  <dimension ref="A1:M13"/>
  <sheetViews>
    <sheetView workbookViewId="0">
      <selection activeCell="L5" sqref="L5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19</v>
      </c>
      <c r="C3" s="5">
        <v>92</v>
      </c>
      <c r="D3" s="5">
        <v>81</v>
      </c>
      <c r="E3" s="5">
        <v>11</v>
      </c>
      <c r="F3" s="6">
        <v>8.2175925925925917E-4</v>
      </c>
      <c r="G3" s="6">
        <v>1.6203703703703703E-4</v>
      </c>
      <c r="H3" s="6">
        <v>3.0092592592592595E-4</v>
      </c>
      <c r="I3" s="6">
        <v>1.6435185185185183E-3</v>
      </c>
      <c r="J3" s="6">
        <v>6.4814814814814813E-4</v>
      </c>
      <c r="K3" s="7">
        <v>0.68479999999999996</v>
      </c>
      <c r="L3" s="7">
        <v>0.31519999999999998</v>
      </c>
      <c r="M3" s="8">
        <v>0.13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66</v>
      </c>
      <c r="D4" s="5">
        <v>56</v>
      </c>
      <c r="E4" s="5">
        <v>10</v>
      </c>
      <c r="F4" s="6">
        <v>8.1018518518518516E-4</v>
      </c>
      <c r="G4" s="6">
        <v>1.8518518518518518E-4</v>
      </c>
      <c r="H4" s="6">
        <v>3.1250000000000001E-4</v>
      </c>
      <c r="I4" s="6">
        <v>1.7245370370370372E-3</v>
      </c>
      <c r="J4" s="6">
        <v>6.2500000000000001E-4</v>
      </c>
      <c r="K4" s="7">
        <v>0.72729999999999995</v>
      </c>
      <c r="L4" s="7">
        <v>0.2727</v>
      </c>
      <c r="M4" s="8">
        <v>0.2</v>
      </c>
    </row>
    <row r="5" spans="1:13" ht="16.5" customHeight="1" x14ac:dyDescent="0.3">
      <c r="A5" s="4">
        <f>SUBTOTAL(3,$B$2:B5)-1</f>
        <v>3</v>
      </c>
      <c r="B5" s="4" t="s">
        <v>16</v>
      </c>
      <c r="C5" s="5">
        <v>17</v>
      </c>
      <c r="D5" s="5">
        <v>16</v>
      </c>
      <c r="E5" s="5">
        <v>1</v>
      </c>
      <c r="F5" s="6">
        <v>7.0601851851851847E-4</v>
      </c>
      <c r="G5" s="6">
        <v>1.3888888888888889E-4</v>
      </c>
      <c r="H5" s="6">
        <v>1.8518518518518518E-4</v>
      </c>
      <c r="I5" s="6">
        <v>5.3240740740740744E-4</v>
      </c>
      <c r="J5" s="6">
        <v>5.6712962962962956E-4</v>
      </c>
      <c r="K5" s="7">
        <v>0.82350000000000001</v>
      </c>
      <c r="L5" s="7">
        <v>0.17649999999999999</v>
      </c>
      <c r="M5" s="8">
        <v>0.23</v>
      </c>
    </row>
    <row r="6" spans="1:13" ht="16.5" customHeight="1" x14ac:dyDescent="0.3">
      <c r="A6" s="4">
        <f>SUBTOTAL(3,$B$2:B6)-1</f>
        <v>4</v>
      </c>
      <c r="B6" s="4" t="s">
        <v>17</v>
      </c>
      <c r="C6" s="5">
        <v>35</v>
      </c>
      <c r="D6" s="5">
        <v>31</v>
      </c>
      <c r="E6" s="5">
        <v>4</v>
      </c>
      <c r="F6" s="6">
        <v>7.9861111111111105E-4</v>
      </c>
      <c r="G6" s="6">
        <v>8.1018518518518516E-5</v>
      </c>
      <c r="H6" s="6">
        <v>1.273148148148148E-4</v>
      </c>
      <c r="I6" s="6">
        <v>8.1018518518518516E-4</v>
      </c>
      <c r="J6" s="6">
        <v>7.175925925925927E-4</v>
      </c>
      <c r="K6" s="7">
        <v>0.8286</v>
      </c>
      <c r="L6" s="7">
        <v>0.1714</v>
      </c>
      <c r="M6" s="8">
        <v>0.09</v>
      </c>
    </row>
    <row r="7" spans="1:13" ht="16.5" customHeight="1" x14ac:dyDescent="0.3">
      <c r="A7" s="4">
        <f>SUBTOTAL(3,$B$2:B7)-1</f>
        <v>5</v>
      </c>
      <c r="B7" s="4" t="s">
        <v>14</v>
      </c>
      <c r="C7" s="5">
        <v>49</v>
      </c>
      <c r="D7" s="5">
        <v>46</v>
      </c>
      <c r="E7" s="5">
        <v>3</v>
      </c>
      <c r="F7" s="6">
        <v>9.6064814814814808E-4</v>
      </c>
      <c r="G7" s="6">
        <v>1.0416666666666667E-4</v>
      </c>
      <c r="H7" s="6">
        <v>1.7361111111111112E-4</v>
      </c>
      <c r="I7" s="6">
        <v>1.6087962962962963E-3</v>
      </c>
      <c r="J7" s="6">
        <v>8.449074074074075E-4</v>
      </c>
      <c r="K7" s="7">
        <v>0.8367</v>
      </c>
      <c r="L7" s="7">
        <v>0.1633</v>
      </c>
      <c r="M7" s="8">
        <v>0.16</v>
      </c>
    </row>
    <row r="8" spans="1:13" ht="16.5" customHeight="1" x14ac:dyDescent="0.3">
      <c r="A8" s="4">
        <f>SUBTOTAL(3,$B$2:B8)-1</f>
        <v>6</v>
      </c>
      <c r="B8" s="4" t="s">
        <v>18</v>
      </c>
      <c r="C8" s="5">
        <v>45</v>
      </c>
      <c r="D8" s="5">
        <v>45</v>
      </c>
      <c r="E8" s="5">
        <v>0</v>
      </c>
      <c r="F8" s="6">
        <v>5.6712962962962956E-4</v>
      </c>
      <c r="G8" s="6">
        <v>5.7870370370370366E-5</v>
      </c>
      <c r="H8" s="6">
        <v>1.1574074074074073E-4</v>
      </c>
      <c r="I8" s="6">
        <v>9.9537037037037042E-4</v>
      </c>
      <c r="J8" s="6">
        <v>4.9768518518518521E-4</v>
      </c>
      <c r="K8" s="7">
        <v>0.91110000000000002</v>
      </c>
      <c r="L8" s="7">
        <v>8.8900000000000007E-2</v>
      </c>
      <c r="M8" s="8">
        <v>0.05</v>
      </c>
    </row>
    <row r="9" spans="1:13" ht="16.5" customHeight="1" x14ac:dyDescent="0.3">
      <c r="A9" s="4">
        <f>SUBTOTAL(3,$B$2:B9)-1</f>
        <v>7</v>
      </c>
      <c r="B9" s="4" t="s">
        <v>13</v>
      </c>
      <c r="C9" s="5">
        <v>27</v>
      </c>
      <c r="D9" s="5">
        <v>27</v>
      </c>
      <c r="E9" s="5">
        <v>0</v>
      </c>
      <c r="F9" s="6">
        <v>8.9120370370370362E-4</v>
      </c>
      <c r="G9" s="6">
        <v>1.6203703703703703E-4</v>
      </c>
      <c r="H9" s="6">
        <v>1.9675925925925926E-4</v>
      </c>
      <c r="I9" s="6">
        <v>8.449074074074075E-4</v>
      </c>
      <c r="J9" s="6">
        <v>7.175925925925927E-4</v>
      </c>
      <c r="K9" s="7">
        <v>0.96299999999999997</v>
      </c>
      <c r="L9" s="7">
        <v>3.6999999999999998E-2</v>
      </c>
      <c r="M9" s="8">
        <v>0.11</v>
      </c>
    </row>
    <row r="10" spans="1:13" ht="16.5" customHeight="1" x14ac:dyDescent="0.3">
      <c r="A10" s="4">
        <f>SUBTOTAL(3,$B$2:B10)-1</f>
        <v>8</v>
      </c>
      <c r="B10" s="4" t="s">
        <v>20</v>
      </c>
      <c r="C10" s="5">
        <v>9</v>
      </c>
      <c r="D10" s="5">
        <v>9</v>
      </c>
      <c r="E10" s="5">
        <v>0</v>
      </c>
      <c r="F10" s="6">
        <v>9.9537037037037042E-4</v>
      </c>
      <c r="G10" s="6">
        <v>1.1574074074074073E-4</v>
      </c>
      <c r="H10" s="6">
        <v>1.1574074074074073E-4</v>
      </c>
      <c r="I10" s="6">
        <v>2.7777777777777778E-4</v>
      </c>
      <c r="J10" s="6">
        <v>8.7962962962962962E-4</v>
      </c>
      <c r="K10" s="7">
        <v>1</v>
      </c>
      <c r="L10" s="7">
        <v>0</v>
      </c>
      <c r="M10" s="8">
        <v>0.03</v>
      </c>
    </row>
    <row r="11" spans="1:13" ht="16.5" x14ac:dyDescent="0.3">
      <c r="A11" s="4">
        <f>SUBTOTAL(3,$B$2:B11)-1</f>
        <v>9</v>
      </c>
      <c r="B11" s="4" t="s">
        <v>21</v>
      </c>
      <c r="C11" s="15">
        <v>32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34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340</v>
      </c>
      <c r="D13" s="12">
        <f>SUM(D3:D10)</f>
        <v>311</v>
      </c>
      <c r="E13" s="12">
        <f>SUM(E3:E10)</f>
        <v>29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6A4C2-E06D-470C-BFB0-184B28F60894}">
  <dimension ref="A1:M13"/>
  <sheetViews>
    <sheetView workbookViewId="0">
      <selection activeCell="C2" sqref="C2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14</v>
      </c>
      <c r="C3" s="5">
        <v>65</v>
      </c>
      <c r="D3" s="5">
        <f t="shared" ref="D3:D10" si="0">C3-E3</f>
        <v>60</v>
      </c>
      <c r="E3" s="5">
        <v>5</v>
      </c>
      <c r="F3" s="6">
        <v>1.0069444444444444E-3</v>
      </c>
      <c r="G3" s="6">
        <v>1.7361111111111112E-4</v>
      </c>
      <c r="H3" s="6">
        <v>2.3148148148148146E-4</v>
      </c>
      <c r="I3" s="6">
        <v>1.0763888888888889E-3</v>
      </c>
      <c r="J3" s="6">
        <v>8.3333333333333339E-4</v>
      </c>
      <c r="K3" s="7">
        <v>0.78459999999999996</v>
      </c>
      <c r="L3" s="7">
        <v>0.21540000000000001</v>
      </c>
      <c r="M3" s="8">
        <v>0.21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88</v>
      </c>
      <c r="D4" s="5">
        <f t="shared" si="0"/>
        <v>80</v>
      </c>
      <c r="E4" s="5">
        <v>8</v>
      </c>
      <c r="F4" s="6">
        <v>9.0277777777777784E-4</v>
      </c>
      <c r="G4" s="6">
        <v>2.4305555555555552E-4</v>
      </c>
      <c r="H4" s="6">
        <v>3.1250000000000001E-4</v>
      </c>
      <c r="I4" s="6">
        <v>1.7013888888888892E-3</v>
      </c>
      <c r="J4" s="6">
        <v>6.4814814814814813E-4</v>
      </c>
      <c r="K4" s="7">
        <v>0.80679999999999996</v>
      </c>
      <c r="L4" s="7">
        <v>0.19320000000000001</v>
      </c>
      <c r="M4" s="8">
        <v>0.23</v>
      </c>
    </row>
    <row r="5" spans="1:13" ht="16.5" customHeight="1" x14ac:dyDescent="0.3">
      <c r="A5" s="4">
        <f>SUBTOTAL(3,$B$2:B5)-1</f>
        <v>3</v>
      </c>
      <c r="B5" s="4" t="s">
        <v>19</v>
      </c>
      <c r="C5" s="5">
        <v>67</v>
      </c>
      <c r="D5" s="5">
        <f t="shared" si="0"/>
        <v>65</v>
      </c>
      <c r="E5" s="5">
        <v>2</v>
      </c>
      <c r="F5" s="6">
        <v>7.7546296296296304E-4</v>
      </c>
      <c r="G5" s="6">
        <v>1.1574074074074073E-4</v>
      </c>
      <c r="H5" s="6">
        <v>1.5046296296296297E-4</v>
      </c>
      <c r="I5" s="6">
        <v>8.449074074074075E-4</v>
      </c>
      <c r="J5" s="6">
        <v>6.4814814814814813E-4</v>
      </c>
      <c r="K5" s="7">
        <v>0.88060000000000005</v>
      </c>
      <c r="L5" s="7">
        <v>0.11940000000000001</v>
      </c>
      <c r="M5" s="8">
        <v>0.16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27</v>
      </c>
      <c r="D6" s="5">
        <f t="shared" si="0"/>
        <v>26</v>
      </c>
      <c r="E6" s="5">
        <v>1</v>
      </c>
      <c r="F6" s="6">
        <v>7.175925925925927E-4</v>
      </c>
      <c r="G6" s="6">
        <v>2.3148148148148146E-4</v>
      </c>
      <c r="H6" s="6">
        <v>2.7777777777777778E-4</v>
      </c>
      <c r="I6" s="6">
        <v>2.4768518518518516E-3</v>
      </c>
      <c r="J6" s="6">
        <v>4.7453703703703704E-4</v>
      </c>
      <c r="K6" s="7">
        <v>0.88890000000000002</v>
      </c>
      <c r="L6" s="7">
        <v>0.1111</v>
      </c>
      <c r="M6" s="8">
        <v>0.14000000000000001</v>
      </c>
    </row>
    <row r="7" spans="1:13" ht="16.5" customHeight="1" x14ac:dyDescent="0.3">
      <c r="A7" s="4">
        <f>SUBTOTAL(3,$B$2:B7)-1</f>
        <v>5</v>
      </c>
      <c r="B7" s="4" t="s">
        <v>13</v>
      </c>
      <c r="C7" s="5">
        <v>30</v>
      </c>
      <c r="D7" s="5">
        <f t="shared" si="0"/>
        <v>28</v>
      </c>
      <c r="E7" s="5">
        <v>2</v>
      </c>
      <c r="F7" s="6">
        <v>6.9444444444444447E-4</v>
      </c>
      <c r="G7" s="6">
        <v>4.6296296296296294E-5</v>
      </c>
      <c r="H7" s="6">
        <v>8.1018518518518516E-5</v>
      </c>
      <c r="I7" s="6">
        <v>5.3240740740740744E-4</v>
      </c>
      <c r="J7" s="6">
        <v>6.4814814814814813E-4</v>
      </c>
      <c r="K7" s="7">
        <v>0.9</v>
      </c>
      <c r="L7" s="7">
        <v>0.1</v>
      </c>
      <c r="M7" s="8">
        <v>0.1</v>
      </c>
    </row>
    <row r="8" spans="1:13" ht="16.5" customHeight="1" x14ac:dyDescent="0.3">
      <c r="A8" s="4">
        <f>SUBTOTAL(3,$B$2:B8)-1</f>
        <v>6</v>
      </c>
      <c r="B8" s="4" t="s">
        <v>17</v>
      </c>
      <c r="C8" s="5">
        <v>31</v>
      </c>
      <c r="D8" s="5">
        <f t="shared" si="0"/>
        <v>30</v>
      </c>
      <c r="E8" s="5">
        <v>1</v>
      </c>
      <c r="F8" s="6">
        <v>7.8703703703703705E-4</v>
      </c>
      <c r="G8" s="6">
        <v>4.6296296296296294E-5</v>
      </c>
      <c r="H8" s="6">
        <v>5.7870370370370366E-5</v>
      </c>
      <c r="I8" s="6">
        <v>3.2407407407407406E-4</v>
      </c>
      <c r="J8" s="6">
        <v>7.291666666666667E-4</v>
      </c>
      <c r="K8" s="7">
        <v>0.9032</v>
      </c>
      <c r="L8" s="7">
        <v>9.6799999999999997E-2</v>
      </c>
      <c r="M8" s="8">
        <v>0.06</v>
      </c>
    </row>
    <row r="9" spans="1:13" ht="16.5" customHeight="1" x14ac:dyDescent="0.3">
      <c r="A9" s="4">
        <f>SUBTOTAL(3,$B$2:B9)-1</f>
        <v>7</v>
      </c>
      <c r="B9" s="4" t="s">
        <v>18</v>
      </c>
      <c r="C9" s="5">
        <v>50</v>
      </c>
      <c r="D9" s="5">
        <f t="shared" si="0"/>
        <v>50</v>
      </c>
      <c r="E9" s="5">
        <v>0</v>
      </c>
      <c r="F9" s="6">
        <v>6.4814814814814813E-4</v>
      </c>
      <c r="G9" s="6">
        <v>8.1018518518518516E-5</v>
      </c>
      <c r="H9" s="6">
        <v>9.2592592592592588E-5</v>
      </c>
      <c r="I9" s="6">
        <v>9.4907407407407408E-4</v>
      </c>
      <c r="J9" s="6">
        <v>5.6712962962962956E-4</v>
      </c>
      <c r="K9" s="7">
        <v>0.98</v>
      </c>
      <c r="L9" s="7">
        <v>0.02</v>
      </c>
      <c r="M9" s="8">
        <v>7.0000000000000007E-2</v>
      </c>
    </row>
    <row r="10" spans="1:13" ht="16.5" customHeight="1" x14ac:dyDescent="0.3">
      <c r="A10" s="4">
        <f>SUBTOTAL(3,$B$2:B10)-1</f>
        <v>8</v>
      </c>
      <c r="B10" s="4" t="s">
        <v>20</v>
      </c>
      <c r="C10" s="5">
        <v>3</v>
      </c>
      <c r="D10" s="5">
        <f t="shared" si="0"/>
        <v>3</v>
      </c>
      <c r="E10" s="5">
        <v>0</v>
      </c>
      <c r="F10" s="6">
        <v>9.1435185185185185E-4</v>
      </c>
      <c r="G10" s="6">
        <v>1.6203703703703703E-4</v>
      </c>
      <c r="H10" s="6">
        <v>1.6203703703703703E-4</v>
      </c>
      <c r="I10" s="6">
        <v>4.2824074074074075E-4</v>
      </c>
      <c r="J10" s="6">
        <v>7.407407407407407E-4</v>
      </c>
      <c r="K10" s="7">
        <v>1</v>
      </c>
      <c r="L10" s="7">
        <v>0</v>
      </c>
      <c r="M10" s="8">
        <v>0.03</v>
      </c>
    </row>
    <row r="11" spans="1:13" ht="16.5" x14ac:dyDescent="0.3">
      <c r="A11" s="4">
        <f>SUBTOTAL(3,$B$2:B11)-1</f>
        <v>9</v>
      </c>
      <c r="B11" s="4" t="s">
        <v>21</v>
      </c>
      <c r="C11" s="15">
        <v>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31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361</v>
      </c>
      <c r="D13" s="12">
        <f>SUM(D3:D10)</f>
        <v>342</v>
      </c>
      <c r="E13" s="12">
        <f>SUM(E3:E10)</f>
        <v>19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76C47-3F43-4781-ACBF-479293AC91F2}">
  <dimension ref="A1:M13"/>
  <sheetViews>
    <sheetView workbookViewId="0">
      <selection activeCell="M6" sqref="M6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20</v>
      </c>
      <c r="C3" s="5">
        <v>5</v>
      </c>
      <c r="D3" s="5">
        <f>C3-E3</f>
        <v>5</v>
      </c>
      <c r="E3" s="5">
        <v>0</v>
      </c>
      <c r="F3" s="6">
        <v>1.5972222222222221E-3</v>
      </c>
      <c r="G3" s="6">
        <v>1.0416666666666667E-4</v>
      </c>
      <c r="H3" s="6">
        <v>3.2407407407407406E-4</v>
      </c>
      <c r="I3" s="6">
        <v>6.9444444444444447E-4</v>
      </c>
      <c r="J3" s="6">
        <v>1.4814814814814814E-3</v>
      </c>
      <c r="K3" s="7">
        <v>0.6</v>
      </c>
      <c r="L3" s="7">
        <v>0.4</v>
      </c>
      <c r="M3" s="8">
        <v>0.05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106</v>
      </c>
      <c r="D4" s="5">
        <f t="shared" ref="D4:D10" si="0">C4-E4</f>
        <v>100</v>
      </c>
      <c r="E4" s="5">
        <v>6</v>
      </c>
      <c r="F4" s="6">
        <v>9.2592592592592585E-4</v>
      </c>
      <c r="G4" s="6">
        <v>2.7777777777777778E-4</v>
      </c>
      <c r="H4" s="6">
        <v>4.2824074074074075E-4</v>
      </c>
      <c r="I4" s="6">
        <v>4.3518518518518515E-3</v>
      </c>
      <c r="J4" s="6">
        <v>6.4814814814814813E-4</v>
      </c>
      <c r="K4" s="7">
        <v>0.72640000000000005</v>
      </c>
      <c r="L4" s="7">
        <v>0.27360000000000001</v>
      </c>
      <c r="M4" s="8">
        <v>0.27</v>
      </c>
    </row>
    <row r="5" spans="1:13" ht="16.5" customHeight="1" x14ac:dyDescent="0.3">
      <c r="A5" s="4">
        <f>SUBTOTAL(3,$B$2:B5)-1</f>
        <v>3</v>
      </c>
      <c r="B5" s="4" t="s">
        <v>16</v>
      </c>
      <c r="C5" s="5">
        <v>19</v>
      </c>
      <c r="D5" s="5">
        <f t="shared" si="0"/>
        <v>17</v>
      </c>
      <c r="E5" s="5">
        <v>2</v>
      </c>
      <c r="F5" s="6">
        <v>1.0995370370370371E-3</v>
      </c>
      <c r="G5" s="6">
        <v>1.6203703703703703E-4</v>
      </c>
      <c r="H5" s="6">
        <v>2.3148148148148146E-4</v>
      </c>
      <c r="I5" s="6">
        <v>8.2175925925925917E-4</v>
      </c>
      <c r="J5" s="6">
        <v>9.3750000000000007E-4</v>
      </c>
      <c r="K5" s="7">
        <v>0.78949999999999998</v>
      </c>
      <c r="L5" s="7">
        <v>0.21049999999999999</v>
      </c>
      <c r="M5" s="8">
        <v>0.12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90</v>
      </c>
      <c r="D6" s="5">
        <f t="shared" si="0"/>
        <v>88</v>
      </c>
      <c r="E6" s="5">
        <v>2</v>
      </c>
      <c r="F6" s="6">
        <v>9.1435185185185185E-4</v>
      </c>
      <c r="G6" s="6">
        <v>1.7361111111111112E-4</v>
      </c>
      <c r="H6" s="6">
        <v>2.199074074074074E-4</v>
      </c>
      <c r="I6" s="6">
        <v>9.3750000000000007E-4</v>
      </c>
      <c r="J6" s="6">
        <v>7.407407407407407E-4</v>
      </c>
      <c r="K6" s="7">
        <v>0.83330000000000004</v>
      </c>
      <c r="L6" s="7">
        <v>0.16669999999999999</v>
      </c>
      <c r="M6" s="8">
        <v>0.16</v>
      </c>
    </row>
    <row r="7" spans="1:13" ht="16.5" customHeight="1" x14ac:dyDescent="0.3">
      <c r="A7" s="4">
        <f>SUBTOTAL(3,$B$2:B7)-1</f>
        <v>5</v>
      </c>
      <c r="B7" s="4" t="s">
        <v>14</v>
      </c>
      <c r="C7" s="5">
        <v>99</v>
      </c>
      <c r="D7" s="5">
        <f t="shared" si="0"/>
        <v>96</v>
      </c>
      <c r="E7" s="5">
        <v>3</v>
      </c>
      <c r="F7" s="6">
        <v>1.0300925925925926E-3</v>
      </c>
      <c r="G7" s="6">
        <v>1.1574074074074073E-4</v>
      </c>
      <c r="H7" s="6">
        <v>1.6203703703703703E-4</v>
      </c>
      <c r="I7" s="6">
        <v>1.4120370370370369E-3</v>
      </c>
      <c r="J7" s="6">
        <v>9.0277777777777784E-4</v>
      </c>
      <c r="K7" s="7">
        <v>0.90910000000000002</v>
      </c>
      <c r="L7" s="7">
        <v>9.0899999999999995E-2</v>
      </c>
      <c r="M7" s="8">
        <v>0.18</v>
      </c>
    </row>
    <row r="8" spans="1:13" ht="16.5" customHeight="1" x14ac:dyDescent="0.3">
      <c r="A8" s="4">
        <f>SUBTOTAL(3,$B$2:B8)-1</f>
        <v>6</v>
      </c>
      <c r="B8" s="4" t="s">
        <v>13</v>
      </c>
      <c r="C8" s="5">
        <v>44</v>
      </c>
      <c r="D8" s="5">
        <f t="shared" si="0"/>
        <v>42</v>
      </c>
      <c r="E8" s="5">
        <v>2</v>
      </c>
      <c r="F8" s="6">
        <v>8.9120370370370362E-4</v>
      </c>
      <c r="G8" s="6">
        <v>1.6203703703703703E-4</v>
      </c>
      <c r="H8" s="6">
        <v>1.8518518518518518E-4</v>
      </c>
      <c r="I8" s="6">
        <v>1.4583333333333334E-3</v>
      </c>
      <c r="J8" s="6">
        <v>7.291666666666667E-4</v>
      </c>
      <c r="K8" s="7">
        <v>0.90910000000000002</v>
      </c>
      <c r="L8" s="7">
        <v>9.0899999999999995E-2</v>
      </c>
      <c r="M8" s="8">
        <v>0.08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35</v>
      </c>
      <c r="D9" s="5">
        <f t="shared" si="0"/>
        <v>35</v>
      </c>
      <c r="E9" s="5">
        <v>0</v>
      </c>
      <c r="F9" s="6">
        <v>7.175925925925927E-4</v>
      </c>
      <c r="G9" s="6">
        <v>8.1018518518518516E-5</v>
      </c>
      <c r="H9" s="6">
        <v>1.0416666666666667E-4</v>
      </c>
      <c r="I9" s="6">
        <v>7.291666666666667E-4</v>
      </c>
      <c r="J9" s="6">
        <v>6.2500000000000001E-4</v>
      </c>
      <c r="K9" s="7">
        <v>0.94289999999999996</v>
      </c>
      <c r="L9" s="7">
        <v>5.7099999999999998E-2</v>
      </c>
      <c r="M9" s="8">
        <v>0.05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46</v>
      </c>
      <c r="D10" s="5">
        <f t="shared" si="0"/>
        <v>46</v>
      </c>
      <c r="E10" s="5">
        <v>0</v>
      </c>
      <c r="F10" s="6">
        <v>7.7546296296296304E-4</v>
      </c>
      <c r="G10" s="6">
        <v>1.0416666666666667E-4</v>
      </c>
      <c r="H10" s="6">
        <v>1.0416666666666667E-4</v>
      </c>
      <c r="I10" s="6">
        <v>7.9861111111111105E-4</v>
      </c>
      <c r="J10" s="6">
        <v>6.7129629629629625E-4</v>
      </c>
      <c r="K10" s="7">
        <v>0.95650000000000002</v>
      </c>
      <c r="L10" s="7">
        <v>4.3499999999999997E-2</v>
      </c>
      <c r="M10" s="8">
        <v>0.09</v>
      </c>
    </row>
    <row r="11" spans="1:13" ht="16.5" x14ac:dyDescent="0.3">
      <c r="A11" s="4">
        <f>SUBTOTAL(3,$B$2:B11)-1</f>
        <v>9</v>
      </c>
      <c r="B11" s="4" t="s">
        <v>21</v>
      </c>
      <c r="C11" s="15">
        <v>8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19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444</v>
      </c>
      <c r="D13" s="12">
        <f>SUM(D3:D10)</f>
        <v>429</v>
      </c>
      <c r="E13" s="12">
        <f>SUM(E3:E10)</f>
        <v>15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CFEE-EA81-479D-B342-4C260ACC662E}">
  <dimension ref="A1:M13"/>
  <sheetViews>
    <sheetView workbookViewId="0">
      <selection activeCell="M10" sqref="M3:M10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113</v>
      </c>
      <c r="D3" s="5">
        <v>93</v>
      </c>
      <c r="E3" s="5">
        <v>20</v>
      </c>
      <c r="F3" s="6">
        <v>9.3750000000000007E-4</v>
      </c>
      <c r="G3" s="6">
        <v>3.0092592592592595E-4</v>
      </c>
      <c r="H3" s="6">
        <v>5.0925925925925921E-4</v>
      </c>
      <c r="I3" s="6">
        <v>3.3449074074074071E-3</v>
      </c>
      <c r="J3" s="6">
        <v>6.3657407407407402E-4</v>
      </c>
      <c r="K3" s="7">
        <v>0.6018</v>
      </c>
      <c r="L3" s="7">
        <v>0.3982</v>
      </c>
      <c r="M3" s="8">
        <v>0.24</v>
      </c>
    </row>
    <row r="4" spans="1:13" ht="16.5" customHeight="1" x14ac:dyDescent="0.3">
      <c r="A4" s="4">
        <f>SUBTOTAL(3,$B$2:B4)-1</f>
        <v>2</v>
      </c>
      <c r="B4" s="4" t="s">
        <v>20</v>
      </c>
      <c r="C4" s="5">
        <v>11</v>
      </c>
      <c r="D4" s="5">
        <v>8</v>
      </c>
      <c r="E4" s="5">
        <v>3</v>
      </c>
      <c r="F4" s="6">
        <v>3.5879629629629635E-4</v>
      </c>
      <c r="G4" s="6">
        <v>1.3888888888888889E-4</v>
      </c>
      <c r="H4" s="6">
        <v>3.7037037037037035E-4</v>
      </c>
      <c r="I4" s="6">
        <v>1.4120370370370369E-3</v>
      </c>
      <c r="J4" s="6">
        <v>2.199074074074074E-4</v>
      </c>
      <c r="K4" s="7">
        <v>0.72729999999999995</v>
      </c>
      <c r="L4" s="7">
        <v>0.2727</v>
      </c>
      <c r="M4" s="8">
        <v>0.05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79</v>
      </c>
      <c r="D5" s="5">
        <v>74</v>
      </c>
      <c r="E5" s="5">
        <v>5</v>
      </c>
      <c r="F5" s="6">
        <v>9.9537037037037042E-4</v>
      </c>
      <c r="G5" s="6">
        <v>1.6203703703703703E-4</v>
      </c>
      <c r="H5" s="6">
        <v>2.7777777777777778E-4</v>
      </c>
      <c r="I5" s="6">
        <v>1.9907407407407408E-3</v>
      </c>
      <c r="J5" s="6">
        <v>8.3333333333333339E-4</v>
      </c>
      <c r="K5" s="7">
        <v>0.75949999999999995</v>
      </c>
      <c r="L5" s="7">
        <v>0.24049999999999999</v>
      </c>
      <c r="M5" s="8">
        <v>0.17</v>
      </c>
    </row>
    <row r="6" spans="1:13" ht="16.5" customHeight="1" x14ac:dyDescent="0.3">
      <c r="A6" s="4">
        <f>SUBTOTAL(3,$B$2:B6)-1</f>
        <v>4</v>
      </c>
      <c r="B6" s="4" t="s">
        <v>13</v>
      </c>
      <c r="C6" s="5">
        <v>64</v>
      </c>
      <c r="D6" s="5">
        <v>57</v>
      </c>
      <c r="E6" s="5">
        <v>7</v>
      </c>
      <c r="F6" s="6">
        <v>8.7962962962962962E-4</v>
      </c>
      <c r="G6" s="6">
        <v>1.5046296296296297E-4</v>
      </c>
      <c r="H6" s="6">
        <v>2.5462962962962961E-4</v>
      </c>
      <c r="I6" s="6">
        <v>2.4768518518518516E-3</v>
      </c>
      <c r="J6" s="6">
        <v>7.175925925925927E-4</v>
      </c>
      <c r="K6" s="7">
        <v>0.78120000000000001</v>
      </c>
      <c r="L6" s="7">
        <v>0.21879999999999999</v>
      </c>
      <c r="M6" s="8">
        <v>0.09</v>
      </c>
    </row>
    <row r="7" spans="1:13" ht="16.5" customHeight="1" x14ac:dyDescent="0.3">
      <c r="A7" s="4">
        <f>SUBTOTAL(3,$B$2:B7)-1</f>
        <v>5</v>
      </c>
      <c r="B7" s="4" t="s">
        <v>17</v>
      </c>
      <c r="C7" s="5">
        <v>40</v>
      </c>
      <c r="D7" s="5">
        <v>37</v>
      </c>
      <c r="E7" s="5">
        <v>3</v>
      </c>
      <c r="F7" s="6">
        <v>9.2592592592592585E-4</v>
      </c>
      <c r="G7" s="6">
        <v>8.1018518518518516E-5</v>
      </c>
      <c r="H7" s="6">
        <v>1.7361111111111112E-4</v>
      </c>
      <c r="I7" s="6">
        <v>1.2152777777777778E-3</v>
      </c>
      <c r="J7" s="6">
        <v>8.3333333333333339E-4</v>
      </c>
      <c r="K7" s="7">
        <v>0.8</v>
      </c>
      <c r="L7" s="7">
        <v>0.2</v>
      </c>
      <c r="M7" s="8">
        <v>0.05</v>
      </c>
    </row>
    <row r="8" spans="1:13" ht="16.5" customHeight="1" x14ac:dyDescent="0.3">
      <c r="A8" s="4">
        <f>SUBTOTAL(3,$B$2:B8)-1</f>
        <v>6</v>
      </c>
      <c r="B8" s="4" t="s">
        <v>19</v>
      </c>
      <c r="C8" s="5">
        <v>101</v>
      </c>
      <c r="D8" s="5">
        <v>94</v>
      </c>
      <c r="E8" s="5">
        <v>7</v>
      </c>
      <c r="F8" s="6">
        <v>8.9120370370370362E-4</v>
      </c>
      <c r="G8" s="6">
        <v>1.7361111111111112E-4</v>
      </c>
      <c r="H8" s="6">
        <v>2.5462962962962961E-4</v>
      </c>
      <c r="I8" s="6">
        <v>1.3657407407407409E-3</v>
      </c>
      <c r="J8" s="6">
        <v>7.0601851851851847E-4</v>
      </c>
      <c r="K8" s="7">
        <v>0.82179999999999997</v>
      </c>
      <c r="L8" s="7">
        <v>0.1782</v>
      </c>
      <c r="M8" s="8">
        <v>0.15</v>
      </c>
    </row>
    <row r="9" spans="1:13" ht="16.5" customHeight="1" x14ac:dyDescent="0.3">
      <c r="A9" s="4">
        <f>SUBTOTAL(3,$B$2:B9)-1</f>
        <v>7</v>
      </c>
      <c r="B9" s="4" t="s">
        <v>16</v>
      </c>
      <c r="C9" s="5">
        <v>46</v>
      </c>
      <c r="D9" s="5">
        <v>45</v>
      </c>
      <c r="E9" s="5">
        <v>1</v>
      </c>
      <c r="F9" s="6">
        <v>1.2268518518518518E-3</v>
      </c>
      <c r="G9" s="6">
        <v>1.8518518518518518E-4</v>
      </c>
      <c r="H9" s="6">
        <v>2.5462962962962961E-4</v>
      </c>
      <c r="I9" s="6">
        <v>1.8287037037037037E-3</v>
      </c>
      <c r="J9" s="6">
        <v>1.0416666666666667E-3</v>
      </c>
      <c r="K9" s="7">
        <v>0.89129999999999998</v>
      </c>
      <c r="L9" s="7">
        <v>0.1087</v>
      </c>
      <c r="M9" s="8">
        <v>0.17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58</v>
      </c>
      <c r="D10" s="5">
        <v>57</v>
      </c>
      <c r="E10" s="5">
        <v>1</v>
      </c>
      <c r="F10" s="6">
        <v>6.5972222222222213E-4</v>
      </c>
      <c r="G10" s="6">
        <v>4.6296296296296294E-5</v>
      </c>
      <c r="H10" s="6">
        <v>6.9444444444444444E-5</v>
      </c>
      <c r="I10" s="6">
        <v>1.1921296296296296E-3</v>
      </c>
      <c r="J10" s="6">
        <v>6.018518518518519E-4</v>
      </c>
      <c r="K10" s="7">
        <v>0.94830000000000003</v>
      </c>
      <c r="L10" s="7">
        <v>5.1700000000000003E-2</v>
      </c>
      <c r="M10" s="8">
        <v>0.08</v>
      </c>
    </row>
    <row r="11" spans="1:13" ht="16.5" x14ac:dyDescent="0.3">
      <c r="A11" s="4">
        <f>SUBTOTAL(3,$B$2:B11)-1</f>
        <v>9</v>
      </c>
      <c r="B11" s="4" t="s">
        <v>21</v>
      </c>
      <c r="C11" s="15">
        <v>18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28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512</v>
      </c>
      <c r="D13" s="12">
        <f>SUM(D3:D10)</f>
        <v>465</v>
      </c>
      <c r="E13" s="12">
        <f>SUM(E3:E10)</f>
        <v>47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D8D1-8322-433E-97EE-1DA19D332393}">
  <dimension ref="A1:M13"/>
  <sheetViews>
    <sheetView workbookViewId="0">
      <selection activeCell="D8" sqref="D8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134</v>
      </c>
      <c r="D3" s="5">
        <f>C3-E3</f>
        <v>109</v>
      </c>
      <c r="E3" s="5">
        <v>25</v>
      </c>
      <c r="F3" s="6">
        <v>1.0416666666666667E-3</v>
      </c>
      <c r="G3" s="6">
        <v>4.6296296296296293E-4</v>
      </c>
      <c r="H3" s="6">
        <v>5.5555555555555556E-4</v>
      </c>
      <c r="I3" s="6">
        <v>2.7314814814814819E-3</v>
      </c>
      <c r="J3" s="6">
        <v>5.7870370370370378E-4</v>
      </c>
      <c r="K3" s="7">
        <v>0.55220000000000002</v>
      </c>
      <c r="L3" s="7">
        <v>0.44779999999999998</v>
      </c>
      <c r="M3" s="8">
        <v>0.24</v>
      </c>
    </row>
    <row r="4" spans="1:13" ht="16.5" customHeight="1" x14ac:dyDescent="0.3">
      <c r="A4" s="4">
        <f>SUBTOTAL(3,$B$2:B4)-1</f>
        <v>2</v>
      </c>
      <c r="B4" s="4" t="s">
        <v>20</v>
      </c>
      <c r="C4" s="5">
        <v>13</v>
      </c>
      <c r="D4" s="5">
        <f t="shared" ref="D4:D10" si="0">C4-E4</f>
        <v>13</v>
      </c>
      <c r="E4" s="5">
        <v>0</v>
      </c>
      <c r="F4" s="6">
        <v>6.9444444444444447E-4</v>
      </c>
      <c r="G4" s="6">
        <v>4.6296296296296294E-5</v>
      </c>
      <c r="H4" s="6">
        <v>2.6620370370370372E-4</v>
      </c>
      <c r="I4" s="6">
        <v>1.0300925925925926E-3</v>
      </c>
      <c r="J4" s="6">
        <v>6.4814814814814813E-4</v>
      </c>
      <c r="K4" s="7">
        <v>0.69230000000000003</v>
      </c>
      <c r="L4" s="7">
        <v>0.30769999999999997</v>
      </c>
      <c r="M4" s="8">
        <v>0.04</v>
      </c>
    </row>
    <row r="5" spans="1:13" ht="16.5" customHeight="1" x14ac:dyDescent="0.3">
      <c r="A5" s="4">
        <f>SUBTOTAL(3,$B$2:B5)-1</f>
        <v>3</v>
      </c>
      <c r="B5" s="4" t="s">
        <v>17</v>
      </c>
      <c r="C5" s="5">
        <v>34</v>
      </c>
      <c r="D5" s="5">
        <f t="shared" si="0"/>
        <v>31</v>
      </c>
      <c r="E5" s="5">
        <v>3</v>
      </c>
      <c r="F5" s="6">
        <v>8.2175925925925917E-4</v>
      </c>
      <c r="G5" s="6">
        <v>1.3888888888888889E-4</v>
      </c>
      <c r="H5" s="6">
        <v>1.5046296296296297E-4</v>
      </c>
      <c r="I5" s="6">
        <v>6.7129629629629625E-4</v>
      </c>
      <c r="J5" s="6">
        <v>6.7129629629629625E-4</v>
      </c>
      <c r="K5" s="7">
        <v>0.79410000000000003</v>
      </c>
      <c r="L5" s="7">
        <v>0.2059</v>
      </c>
      <c r="M5" s="8">
        <v>0.05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120</v>
      </c>
      <c r="D6" s="5">
        <f t="shared" si="0"/>
        <v>116</v>
      </c>
      <c r="E6" s="5">
        <v>4</v>
      </c>
      <c r="F6" s="6">
        <v>9.4907407407407408E-4</v>
      </c>
      <c r="G6" s="6">
        <v>1.9675925925925926E-4</v>
      </c>
      <c r="H6" s="6">
        <v>2.6620370370370372E-4</v>
      </c>
      <c r="I6" s="6">
        <v>2.0601851851851853E-3</v>
      </c>
      <c r="J6" s="6">
        <v>7.5231481481481471E-4</v>
      </c>
      <c r="K6" s="7">
        <v>0.82499999999999996</v>
      </c>
      <c r="L6" s="7">
        <v>0.17499999999999999</v>
      </c>
      <c r="M6" s="8">
        <v>0.16</v>
      </c>
    </row>
    <row r="7" spans="1:13" ht="16.5" customHeight="1" x14ac:dyDescent="0.3">
      <c r="A7" s="4">
        <f>SUBTOTAL(3,$B$2:B7)-1</f>
        <v>5</v>
      </c>
      <c r="B7" s="4" t="s">
        <v>16</v>
      </c>
      <c r="C7" s="5">
        <v>44</v>
      </c>
      <c r="D7" s="5">
        <f t="shared" si="0"/>
        <v>39</v>
      </c>
      <c r="E7" s="5">
        <v>5</v>
      </c>
      <c r="F7" s="6">
        <v>8.2175925925925917E-4</v>
      </c>
      <c r="G7" s="6">
        <v>1.9675925925925926E-4</v>
      </c>
      <c r="H7" s="6">
        <v>2.8935185185185189E-4</v>
      </c>
      <c r="I7" s="6">
        <v>1.1921296296296296E-3</v>
      </c>
      <c r="J7" s="6">
        <v>6.2500000000000001E-4</v>
      </c>
      <c r="K7" s="7">
        <v>0.84089999999999998</v>
      </c>
      <c r="L7" s="7">
        <v>0.15909999999999999</v>
      </c>
      <c r="M7" s="8">
        <v>0.17</v>
      </c>
    </row>
    <row r="8" spans="1:13" ht="16.5" customHeight="1" x14ac:dyDescent="0.3">
      <c r="A8" s="4">
        <f>SUBTOTAL(3,$B$2:B8)-1</f>
        <v>6</v>
      </c>
      <c r="B8" s="4" t="s">
        <v>14</v>
      </c>
      <c r="C8" s="5">
        <v>81</v>
      </c>
      <c r="D8" s="5">
        <f t="shared" si="0"/>
        <v>77</v>
      </c>
      <c r="E8" s="5">
        <v>4</v>
      </c>
      <c r="F8" s="6">
        <v>9.8379629629629642E-4</v>
      </c>
      <c r="G8" s="6">
        <v>1.9675925925925926E-4</v>
      </c>
      <c r="H8" s="6">
        <v>2.7777777777777778E-4</v>
      </c>
      <c r="I8" s="6">
        <v>1.8981481481481482E-3</v>
      </c>
      <c r="J8" s="6">
        <v>7.8703703703703705E-4</v>
      </c>
      <c r="K8" s="7">
        <v>0.86419999999999997</v>
      </c>
      <c r="L8" s="7">
        <v>0.1358</v>
      </c>
      <c r="M8" s="8">
        <v>0.17</v>
      </c>
    </row>
    <row r="9" spans="1:13" ht="16.5" customHeight="1" x14ac:dyDescent="0.3">
      <c r="A9" s="4">
        <f>SUBTOTAL(3,$B$2:B9)-1</f>
        <v>7</v>
      </c>
      <c r="B9" s="4" t="s">
        <v>13</v>
      </c>
      <c r="C9" s="5">
        <v>69</v>
      </c>
      <c r="D9" s="5">
        <f t="shared" si="0"/>
        <v>68</v>
      </c>
      <c r="E9" s="5">
        <v>1</v>
      </c>
      <c r="F9" s="6">
        <v>8.2175925925925917E-4</v>
      </c>
      <c r="G9" s="6">
        <v>1.7361111111111112E-4</v>
      </c>
      <c r="H9" s="6">
        <v>2.3148148148148146E-4</v>
      </c>
      <c r="I9" s="6">
        <v>1.3078703703703705E-3</v>
      </c>
      <c r="J9" s="6">
        <v>6.4814814814814813E-4</v>
      </c>
      <c r="K9" s="7">
        <v>0.86960000000000004</v>
      </c>
      <c r="L9" s="7">
        <v>0.13039999999999999</v>
      </c>
      <c r="M9" s="8">
        <v>0.1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47</v>
      </c>
      <c r="D10" s="5">
        <f t="shared" si="0"/>
        <v>47</v>
      </c>
      <c r="E10" s="5">
        <v>0</v>
      </c>
      <c r="F10" s="6">
        <v>7.0601851851851847E-4</v>
      </c>
      <c r="G10" s="6">
        <v>8.1018518518518516E-5</v>
      </c>
      <c r="H10" s="6">
        <v>1.0416666666666667E-4</v>
      </c>
      <c r="I10" s="6">
        <v>8.3333333333333339E-4</v>
      </c>
      <c r="J10" s="6">
        <v>6.134259259259259E-4</v>
      </c>
      <c r="K10" s="7">
        <v>0.95740000000000003</v>
      </c>
      <c r="L10" s="7">
        <v>4.2599999999999999E-2</v>
      </c>
      <c r="M10" s="8">
        <v>7.0000000000000007E-2</v>
      </c>
    </row>
    <row r="11" spans="1:13" ht="16.5" x14ac:dyDescent="0.3">
      <c r="A11" s="4">
        <f>SUBTOTAL(3,$B$2:B11)-1</f>
        <v>9</v>
      </c>
      <c r="B11" s="4" t="s">
        <v>21</v>
      </c>
      <c r="C11" s="15">
        <v>23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26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542</v>
      </c>
      <c r="D13" s="12">
        <f>SUM(D3:D10)</f>
        <v>500</v>
      </c>
      <c r="E13" s="12">
        <f>SUM(E3:E10)</f>
        <v>42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B0C37-7B41-49E4-97D9-A5F8916934CF}">
  <dimension ref="A1:M13"/>
  <sheetViews>
    <sheetView workbookViewId="0">
      <selection activeCell="E13" sqref="E1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104</v>
      </c>
      <c r="D3" s="5">
        <v>87</v>
      </c>
      <c r="E3" s="5">
        <v>17</v>
      </c>
      <c r="F3" s="6">
        <v>8.7962962962962962E-4</v>
      </c>
      <c r="G3" s="6">
        <v>2.7777777777777778E-4</v>
      </c>
      <c r="H3" s="6">
        <v>4.1666666666666669E-4</v>
      </c>
      <c r="I3" s="6">
        <v>1.7592592592592592E-3</v>
      </c>
      <c r="J3" s="6">
        <v>5.9027777777777778E-4</v>
      </c>
      <c r="K3" s="7">
        <v>0.67310000000000003</v>
      </c>
      <c r="L3" s="7">
        <v>0.32690000000000002</v>
      </c>
      <c r="M3" s="8">
        <v>0.24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35</v>
      </c>
      <c r="D4" s="5">
        <v>32</v>
      </c>
      <c r="E4" s="5">
        <v>3</v>
      </c>
      <c r="F4" s="6">
        <v>9.8379629629629642E-4</v>
      </c>
      <c r="G4" s="6">
        <v>1.1574074074074073E-4</v>
      </c>
      <c r="H4" s="6">
        <v>2.0833333333333335E-4</v>
      </c>
      <c r="I4" s="6">
        <v>2.2800925925925927E-3</v>
      </c>
      <c r="J4" s="6">
        <v>8.564814814814815E-4</v>
      </c>
      <c r="K4" s="7">
        <v>0.8</v>
      </c>
      <c r="L4" s="7">
        <v>0.2</v>
      </c>
      <c r="M4" s="8">
        <v>7.0000000000000007E-2</v>
      </c>
    </row>
    <row r="5" spans="1:13" ht="16.5" customHeight="1" x14ac:dyDescent="0.3">
      <c r="A5" s="4">
        <f>SUBTOTAL(3,$B$2:B5)-1</f>
        <v>3</v>
      </c>
      <c r="B5" s="4" t="s">
        <v>20</v>
      </c>
      <c r="C5" s="5">
        <v>6</v>
      </c>
      <c r="D5" s="5">
        <v>5</v>
      </c>
      <c r="E5" s="5">
        <v>1</v>
      </c>
      <c r="F5" s="6">
        <v>1.261574074074074E-3</v>
      </c>
      <c r="G5" s="6">
        <v>8.1018518518518516E-5</v>
      </c>
      <c r="H5" s="6">
        <v>1.0416666666666667E-4</v>
      </c>
      <c r="I5" s="6">
        <v>2.7777777777777778E-4</v>
      </c>
      <c r="J5" s="6">
        <v>1.1805555555555556E-3</v>
      </c>
      <c r="K5" s="7">
        <v>0.83330000000000004</v>
      </c>
      <c r="L5" s="7">
        <v>0.16669999999999999</v>
      </c>
      <c r="M5" s="8">
        <v>7.0000000000000007E-2</v>
      </c>
    </row>
    <row r="6" spans="1:13" ht="16.5" customHeight="1" x14ac:dyDescent="0.3">
      <c r="A6" s="4">
        <f>SUBTOTAL(3,$B$2:B6)-1</f>
        <v>4</v>
      </c>
      <c r="B6" s="4" t="s">
        <v>19</v>
      </c>
      <c r="C6" s="5">
        <v>112</v>
      </c>
      <c r="D6" s="5">
        <v>109</v>
      </c>
      <c r="E6" s="5">
        <v>3</v>
      </c>
      <c r="F6" s="6">
        <v>8.7962962962962962E-4</v>
      </c>
      <c r="G6" s="6">
        <v>2.199074074074074E-4</v>
      </c>
      <c r="H6" s="6">
        <v>2.6620370370370372E-4</v>
      </c>
      <c r="I6" s="6">
        <v>1.2037037037037038E-3</v>
      </c>
      <c r="J6" s="6">
        <v>6.4814814814814813E-4</v>
      </c>
      <c r="K6" s="7">
        <v>0.85709999999999997</v>
      </c>
      <c r="L6" s="7">
        <v>0.1429</v>
      </c>
      <c r="M6" s="8">
        <v>0.16</v>
      </c>
    </row>
    <row r="7" spans="1:13" ht="16.5" customHeight="1" x14ac:dyDescent="0.3">
      <c r="A7" s="4">
        <f>SUBTOTAL(3,$B$2:B7)-1</f>
        <v>5</v>
      </c>
      <c r="B7" s="4" t="s">
        <v>14</v>
      </c>
      <c r="C7" s="5">
        <v>85</v>
      </c>
      <c r="D7" s="5">
        <v>83</v>
      </c>
      <c r="E7" s="5">
        <v>2</v>
      </c>
      <c r="F7" s="6">
        <v>8.1018518518518516E-4</v>
      </c>
      <c r="G7" s="6">
        <v>1.1574074074074073E-4</v>
      </c>
      <c r="H7" s="6">
        <v>1.5046296296296297E-4</v>
      </c>
      <c r="I7" s="6">
        <v>1.25E-3</v>
      </c>
      <c r="J7" s="6">
        <v>6.8287037037037025E-4</v>
      </c>
      <c r="K7" s="7">
        <v>0.89410000000000001</v>
      </c>
      <c r="L7" s="7">
        <v>0.10589999999999999</v>
      </c>
      <c r="M7" s="8">
        <v>0.17</v>
      </c>
    </row>
    <row r="8" spans="1:13" ht="16.5" customHeight="1" x14ac:dyDescent="0.3">
      <c r="A8" s="4">
        <f>SUBTOTAL(3,$B$2:B8)-1</f>
        <v>6</v>
      </c>
      <c r="B8" s="4" t="s">
        <v>18</v>
      </c>
      <c r="C8" s="5">
        <v>51</v>
      </c>
      <c r="D8" s="5">
        <v>50</v>
      </c>
      <c r="E8" s="5">
        <v>1</v>
      </c>
      <c r="F8" s="6">
        <v>8.3333333333333339E-4</v>
      </c>
      <c r="G8" s="6">
        <v>8.1018518518518516E-5</v>
      </c>
      <c r="H8" s="6">
        <v>1.1574074074074073E-4</v>
      </c>
      <c r="I8" s="6">
        <v>9.2592592592592585E-4</v>
      </c>
      <c r="J8" s="6">
        <v>7.407407407407407E-4</v>
      </c>
      <c r="K8" s="7">
        <v>0.94120000000000004</v>
      </c>
      <c r="L8" s="7">
        <v>5.8799999999999998E-2</v>
      </c>
      <c r="M8" s="8">
        <v>0.06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43</v>
      </c>
      <c r="D9" s="5">
        <v>42</v>
      </c>
      <c r="E9" s="5">
        <v>1</v>
      </c>
      <c r="F9" s="6">
        <v>5.7870370370370378E-4</v>
      </c>
      <c r="G9" s="6">
        <v>1.0416666666666667E-4</v>
      </c>
      <c r="H9" s="6">
        <v>1.1574074074074073E-4</v>
      </c>
      <c r="I9" s="6">
        <v>6.9444444444444447E-4</v>
      </c>
      <c r="J9" s="6">
        <v>4.7453703703703704E-4</v>
      </c>
      <c r="K9" s="7">
        <v>0.95350000000000001</v>
      </c>
      <c r="L9" s="7">
        <v>4.65E-2</v>
      </c>
      <c r="M9" s="8">
        <v>0.06</v>
      </c>
    </row>
    <row r="10" spans="1:13" ht="16.5" customHeight="1" x14ac:dyDescent="0.3">
      <c r="A10" s="4">
        <f>SUBTOTAL(3,$B$2:B10)-1</f>
        <v>8</v>
      </c>
      <c r="B10" s="4" t="s">
        <v>16</v>
      </c>
      <c r="C10" s="5">
        <v>23</v>
      </c>
      <c r="D10" s="5">
        <v>22</v>
      </c>
      <c r="E10" s="5">
        <v>1</v>
      </c>
      <c r="F10" s="6">
        <v>6.5972222222222213E-4</v>
      </c>
      <c r="G10" s="6">
        <v>9.2592592592592588E-5</v>
      </c>
      <c r="H10" s="6">
        <v>1.1574074074074073E-4</v>
      </c>
      <c r="I10" s="6">
        <v>8.6805555555555551E-4</v>
      </c>
      <c r="J10" s="6">
        <v>5.6712962962962956E-4</v>
      </c>
      <c r="K10" s="7">
        <v>0.95650000000000002</v>
      </c>
      <c r="L10" s="7">
        <v>4.3499999999999997E-2</v>
      </c>
      <c r="M10" s="8">
        <v>0.17</v>
      </c>
    </row>
    <row r="11" spans="1:13" ht="16.5" x14ac:dyDescent="0.3">
      <c r="A11" s="4">
        <f>SUBTOTAL(3,$B$2:B11)-1</f>
        <v>9</v>
      </c>
      <c r="B11" s="4" t="s">
        <v>21</v>
      </c>
      <c r="C11" s="15">
        <v>12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30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459</v>
      </c>
      <c r="D13" s="12">
        <f>SUM(D3:D10)</f>
        <v>430</v>
      </c>
      <c r="E13" s="12">
        <f>SUM(E3:E10)</f>
        <v>29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B4EFA-1827-4679-A263-6F69D7513CBB}">
  <dimension ref="A1:M13"/>
  <sheetViews>
    <sheetView workbookViewId="0">
      <selection activeCell="D3" sqref="D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150</v>
      </c>
      <c r="D3" s="5">
        <v>109</v>
      </c>
      <c r="E3" s="5">
        <v>41</v>
      </c>
      <c r="F3" s="6">
        <v>9.4907407407407408E-4</v>
      </c>
      <c r="G3" s="6">
        <v>3.9351851851851852E-4</v>
      </c>
      <c r="H3" s="6">
        <v>6.7129629629629625E-4</v>
      </c>
      <c r="I3" s="6">
        <v>3.7037037037037034E-3</v>
      </c>
      <c r="J3" s="6">
        <v>5.5555555555555556E-4</v>
      </c>
      <c r="K3" s="7">
        <v>0.42</v>
      </c>
      <c r="L3" s="7">
        <v>0.57999999999999996</v>
      </c>
      <c r="M3" s="8">
        <v>0.22997105321754621</v>
      </c>
    </row>
    <row r="4" spans="1:13" ht="16.5" customHeight="1" x14ac:dyDescent="0.3">
      <c r="A4" s="4">
        <f>SUBTOTAL(3,$B$2:B4)-1</f>
        <v>2</v>
      </c>
      <c r="B4" s="4" t="s">
        <v>20</v>
      </c>
      <c r="C4" s="5">
        <v>18</v>
      </c>
      <c r="D4" s="5">
        <v>15</v>
      </c>
      <c r="E4" s="5">
        <v>3</v>
      </c>
      <c r="F4" s="6">
        <v>8.7962962962962962E-4</v>
      </c>
      <c r="G4" s="6">
        <v>9.2592592592592588E-5</v>
      </c>
      <c r="H4" s="6">
        <v>2.6620370370370372E-4</v>
      </c>
      <c r="I4" s="6">
        <v>1.3657407407407409E-3</v>
      </c>
      <c r="J4" s="6">
        <v>7.8703703703703705E-4</v>
      </c>
      <c r="K4" s="7">
        <v>0.72219999999999995</v>
      </c>
      <c r="L4" s="7">
        <v>0.27779999999999999</v>
      </c>
      <c r="M4" s="8">
        <v>2.8679581384992207E-2</v>
      </c>
    </row>
    <row r="5" spans="1:13" ht="16.5" customHeight="1" x14ac:dyDescent="0.3">
      <c r="A5" s="4">
        <f>SUBTOTAL(3,$B$2:B5)-1</f>
        <v>3</v>
      </c>
      <c r="B5" s="4" t="s">
        <v>17</v>
      </c>
      <c r="C5" s="5">
        <v>15</v>
      </c>
      <c r="D5" s="5">
        <v>14</v>
      </c>
      <c r="E5" s="5">
        <v>1</v>
      </c>
      <c r="F5" s="6">
        <v>7.291666666666667E-4</v>
      </c>
      <c r="G5" s="6">
        <v>1.0416666666666667E-4</v>
      </c>
      <c r="H5" s="6">
        <v>2.4305555555555552E-4</v>
      </c>
      <c r="I5" s="6">
        <v>1.7013888888888892E-3</v>
      </c>
      <c r="J5" s="6">
        <v>6.134259259259259E-4</v>
      </c>
      <c r="K5" s="7">
        <v>0.73329999999999995</v>
      </c>
      <c r="L5" s="7">
        <v>0.26669999999999999</v>
      </c>
      <c r="M5" s="8">
        <v>5.1569806279225118E-2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80</v>
      </c>
      <c r="D6" s="5">
        <v>74</v>
      </c>
      <c r="E6" s="5">
        <v>6</v>
      </c>
      <c r="F6" s="6">
        <v>1.0416666666666667E-3</v>
      </c>
      <c r="G6" s="6">
        <v>2.4305555555555552E-4</v>
      </c>
      <c r="H6" s="6">
        <v>3.3564814814814812E-4</v>
      </c>
      <c r="I6" s="6">
        <v>1.8287037037037037E-3</v>
      </c>
      <c r="J6" s="6">
        <v>7.8703703703703705E-4</v>
      </c>
      <c r="K6" s="7">
        <v>0.8</v>
      </c>
      <c r="L6" s="7">
        <v>0.2</v>
      </c>
      <c r="M6" s="8">
        <v>0.19519038076152304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77</v>
      </c>
      <c r="D7" s="5">
        <v>67</v>
      </c>
      <c r="E7" s="5">
        <v>10</v>
      </c>
      <c r="F7" s="6">
        <v>1.0995370370370371E-3</v>
      </c>
      <c r="G7" s="6">
        <v>1.7361111111111112E-4</v>
      </c>
      <c r="H7" s="6">
        <v>2.6620370370370372E-4</v>
      </c>
      <c r="I7" s="6">
        <v>2.0486111111111113E-3</v>
      </c>
      <c r="J7" s="6">
        <v>9.1435185185185185E-4</v>
      </c>
      <c r="K7" s="7">
        <v>0.80520000000000003</v>
      </c>
      <c r="L7" s="7">
        <v>0.1948</v>
      </c>
      <c r="M7" s="8">
        <v>0.19737252282342463</v>
      </c>
    </row>
    <row r="8" spans="1:13" ht="16.5" customHeight="1" x14ac:dyDescent="0.3">
      <c r="A8" s="4">
        <f>SUBTOTAL(3,$B$2:B8)-1</f>
        <v>6</v>
      </c>
      <c r="B8" s="4" t="s">
        <v>16</v>
      </c>
      <c r="C8" s="5">
        <v>33</v>
      </c>
      <c r="D8" s="5">
        <v>30</v>
      </c>
      <c r="E8" s="5">
        <v>3</v>
      </c>
      <c r="F8" s="6">
        <v>8.7962962962962962E-4</v>
      </c>
      <c r="G8" s="6">
        <v>9.2592592592592588E-5</v>
      </c>
      <c r="H8" s="6">
        <v>2.4305555555555552E-4</v>
      </c>
      <c r="I8" s="6">
        <v>1.8634259259259261E-3</v>
      </c>
      <c r="J8" s="6">
        <v>7.7546296296296304E-4</v>
      </c>
      <c r="K8" s="7">
        <v>0.87880000000000003</v>
      </c>
      <c r="L8" s="7">
        <v>0.1212</v>
      </c>
      <c r="M8" s="8">
        <v>0.13649521264751727</v>
      </c>
    </row>
    <row r="9" spans="1:13" ht="16.5" customHeight="1" x14ac:dyDescent="0.3">
      <c r="A9" s="4">
        <f>SUBTOTAL(3,$B$2:B9)-1</f>
        <v>7</v>
      </c>
      <c r="B9" s="4" t="s">
        <v>13</v>
      </c>
      <c r="C9" s="5">
        <v>29</v>
      </c>
      <c r="D9" s="5">
        <v>29</v>
      </c>
      <c r="E9" s="5">
        <v>0</v>
      </c>
      <c r="F9" s="6">
        <v>6.4814814814814813E-4</v>
      </c>
      <c r="G9" s="6">
        <v>8.1018518518518516E-5</v>
      </c>
      <c r="H9" s="6">
        <v>1.8518518518518518E-4</v>
      </c>
      <c r="I9" s="6">
        <v>2.5462962962962961E-3</v>
      </c>
      <c r="J9" s="6">
        <v>5.6712962962962956E-4</v>
      </c>
      <c r="K9" s="7">
        <v>0.93100000000000005</v>
      </c>
      <c r="L9" s="7">
        <v>6.9000000000000006E-2</v>
      </c>
      <c r="M9" s="8">
        <v>7.7310175907370299E-2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50</v>
      </c>
      <c r="D10" s="5">
        <v>49</v>
      </c>
      <c r="E10" s="5">
        <v>1</v>
      </c>
      <c r="F10" s="6">
        <v>6.4814814814814813E-4</v>
      </c>
      <c r="G10" s="6">
        <v>5.7870370370370366E-5</v>
      </c>
      <c r="H10" s="6">
        <v>9.2592592592592588E-5</v>
      </c>
      <c r="I10" s="6">
        <v>1.2731481481481483E-3</v>
      </c>
      <c r="J10" s="6">
        <v>5.7870370370370378E-4</v>
      </c>
      <c r="K10" s="7">
        <v>0.94</v>
      </c>
      <c r="L10" s="7">
        <v>0.06</v>
      </c>
      <c r="M10" s="8">
        <v>8.3411266978401247E-2</v>
      </c>
    </row>
    <row r="11" spans="1:13" ht="16.5" x14ac:dyDescent="0.3">
      <c r="A11" s="4">
        <f>SUBTOTAL(3,$B$2:B11)-1</f>
        <v>9</v>
      </c>
      <c r="B11" s="4" t="s">
        <v>21</v>
      </c>
      <c r="C11" s="15">
        <v>31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452</v>
      </c>
      <c r="D13" s="12">
        <f>SUM(D3:D10)</f>
        <v>387</v>
      </c>
      <c r="E13" s="12">
        <f>SUM(E3:E10)</f>
        <v>65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851F4-73CF-43E8-B3FB-7D59AF55D01F}">
  <dimension ref="A1:M13"/>
  <sheetViews>
    <sheetView workbookViewId="0">
      <selection activeCell="P2" sqref="P2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168</v>
      </c>
      <c r="D3" s="5">
        <v>146</v>
      </c>
      <c r="E3" s="5">
        <v>22</v>
      </c>
      <c r="F3" s="6">
        <v>9.7222222222222209E-4</v>
      </c>
      <c r="G3" s="6">
        <v>3.2407407407407406E-4</v>
      </c>
      <c r="H3" s="6">
        <v>5.2083333333333333E-4</v>
      </c>
      <c r="I3" s="6">
        <v>3.2638888888888891E-3</v>
      </c>
      <c r="J3" s="6">
        <v>6.4814814814814813E-4</v>
      </c>
      <c r="K3" s="7">
        <v>0.55359999999999998</v>
      </c>
      <c r="L3" s="7">
        <v>0.44640000000000002</v>
      </c>
      <c r="M3" s="8">
        <v>0.2</v>
      </c>
    </row>
    <row r="4" spans="1:13" ht="16.5" customHeight="1" x14ac:dyDescent="0.3">
      <c r="A4" s="4">
        <f>SUBTOTAL(3,$B$2:B4)-1</f>
        <v>2</v>
      </c>
      <c r="B4" s="4" t="s">
        <v>16</v>
      </c>
      <c r="C4" s="5">
        <v>49</v>
      </c>
      <c r="D4" s="5">
        <v>45</v>
      </c>
      <c r="E4" s="5">
        <v>4</v>
      </c>
      <c r="F4" s="6">
        <v>1.2384259259259258E-3</v>
      </c>
      <c r="G4" s="6">
        <v>3.2407407407407406E-4</v>
      </c>
      <c r="H4" s="6">
        <v>4.9768518518518521E-4</v>
      </c>
      <c r="I4" s="6">
        <v>1.6782407407407406E-3</v>
      </c>
      <c r="J4" s="6">
        <v>9.1435185185185185E-4</v>
      </c>
      <c r="K4" s="7">
        <v>0.59179999999999999</v>
      </c>
      <c r="L4" s="7">
        <v>0.40820000000000001</v>
      </c>
      <c r="M4" s="8">
        <v>0.23</v>
      </c>
    </row>
    <row r="5" spans="1:13" ht="16.5" customHeight="1" x14ac:dyDescent="0.3">
      <c r="A5" s="4">
        <f>SUBTOTAL(3,$B$2:B5)-1</f>
        <v>3</v>
      </c>
      <c r="B5" s="4" t="s">
        <v>19</v>
      </c>
      <c r="C5" s="5">
        <v>107</v>
      </c>
      <c r="D5" s="5">
        <v>96</v>
      </c>
      <c r="E5" s="5">
        <v>11</v>
      </c>
      <c r="F5" s="6">
        <v>7.7546296296296304E-4</v>
      </c>
      <c r="G5" s="6">
        <v>1.6203703703703703E-4</v>
      </c>
      <c r="H5" s="6">
        <v>3.3564814814814812E-4</v>
      </c>
      <c r="I5" s="6">
        <v>2.4074074074074076E-3</v>
      </c>
      <c r="J5" s="6">
        <v>6.134259259259259E-4</v>
      </c>
      <c r="K5" s="7">
        <v>0.66359999999999997</v>
      </c>
      <c r="L5" s="7">
        <v>0.33639999999999998</v>
      </c>
      <c r="M5" s="8">
        <v>0.12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116</v>
      </c>
      <c r="D6" s="5">
        <v>109</v>
      </c>
      <c r="E6" s="5">
        <v>7</v>
      </c>
      <c r="F6" s="6">
        <v>8.564814814814815E-4</v>
      </c>
      <c r="G6" s="6">
        <v>2.199074074074074E-4</v>
      </c>
      <c r="H6" s="6">
        <v>3.7037037037037035E-4</v>
      </c>
      <c r="I6" s="6">
        <v>2.1759259259259258E-3</v>
      </c>
      <c r="J6" s="6">
        <v>6.2500000000000001E-4</v>
      </c>
      <c r="K6" s="7">
        <v>0.6724</v>
      </c>
      <c r="L6" s="7">
        <v>0.3276</v>
      </c>
      <c r="M6" s="8">
        <v>0.17</v>
      </c>
    </row>
    <row r="7" spans="1:13" ht="16.5" customHeight="1" x14ac:dyDescent="0.3">
      <c r="A7" s="4">
        <f>SUBTOTAL(3,$B$2:B7)-1</f>
        <v>5</v>
      </c>
      <c r="B7" s="4" t="s">
        <v>13</v>
      </c>
      <c r="C7" s="5">
        <v>63</v>
      </c>
      <c r="D7" s="5">
        <v>57</v>
      </c>
      <c r="E7" s="5">
        <v>6</v>
      </c>
      <c r="F7" s="6">
        <v>9.8379629629629642E-4</v>
      </c>
      <c r="G7" s="6">
        <v>2.4305555555555552E-4</v>
      </c>
      <c r="H7" s="6">
        <v>3.9351851851851852E-4</v>
      </c>
      <c r="I7" s="6">
        <v>2.627314814814815E-3</v>
      </c>
      <c r="J7" s="6">
        <v>7.291666666666667E-4</v>
      </c>
      <c r="K7" s="7">
        <v>0.76190000000000002</v>
      </c>
      <c r="L7" s="7">
        <v>0.23810000000000001</v>
      </c>
      <c r="M7" s="8">
        <v>0.11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26</v>
      </c>
      <c r="D8" s="5">
        <v>24</v>
      </c>
      <c r="E8" s="5">
        <v>2</v>
      </c>
      <c r="F8" s="6">
        <v>9.1435185185185185E-4</v>
      </c>
      <c r="G8" s="6">
        <v>1.3888888888888889E-4</v>
      </c>
      <c r="H8" s="6">
        <v>2.7777777777777778E-4</v>
      </c>
      <c r="I8" s="6">
        <v>1.0300925925925926E-3</v>
      </c>
      <c r="J8" s="6">
        <v>7.6388888888888893E-4</v>
      </c>
      <c r="K8" s="7">
        <v>0.76919999999999999</v>
      </c>
      <c r="L8" s="7">
        <v>0.23080000000000001</v>
      </c>
      <c r="M8" s="8">
        <v>7.0000000000000007E-2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41</v>
      </c>
      <c r="D9" s="5">
        <v>39</v>
      </c>
      <c r="E9" s="5">
        <v>2</v>
      </c>
      <c r="F9" s="6">
        <v>6.018518518518519E-4</v>
      </c>
      <c r="G9" s="6">
        <v>8.1018518518518516E-5</v>
      </c>
      <c r="H9" s="6">
        <v>1.6203703703703703E-4</v>
      </c>
      <c r="I9" s="6">
        <v>9.7222222222222209E-4</v>
      </c>
      <c r="J9" s="6">
        <v>5.0925925925925921E-4</v>
      </c>
      <c r="K9" s="7">
        <v>0.82930000000000004</v>
      </c>
      <c r="L9" s="7">
        <v>0.17069999999999999</v>
      </c>
      <c r="M9" s="8">
        <v>0.05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62</v>
      </c>
      <c r="D10" s="5">
        <v>62</v>
      </c>
      <c r="E10" s="5">
        <v>0</v>
      </c>
      <c r="F10" s="6">
        <v>6.2500000000000001E-4</v>
      </c>
      <c r="G10" s="6">
        <v>9.2592592592592588E-5</v>
      </c>
      <c r="H10" s="6">
        <v>9.2592592592592588E-5</v>
      </c>
      <c r="I10" s="6">
        <v>4.9768518518518521E-4</v>
      </c>
      <c r="J10" s="6">
        <v>5.2083333333333333E-4</v>
      </c>
      <c r="K10" s="7">
        <v>0.9516</v>
      </c>
      <c r="L10" s="7">
        <v>4.8399999999999999E-2</v>
      </c>
      <c r="M10" s="8">
        <v>0.05</v>
      </c>
    </row>
    <row r="11" spans="1:13" ht="16.5" x14ac:dyDescent="0.3">
      <c r="A11" s="4">
        <f>SUBTOTAL(3,$B$2:B11)-1</f>
        <v>9</v>
      </c>
      <c r="B11" s="4" t="s">
        <v>21</v>
      </c>
      <c r="C11" s="15">
        <v>27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49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632</v>
      </c>
      <c r="D13" s="12">
        <f>SUM(D3:D10)</f>
        <v>578</v>
      </c>
      <c r="E13" s="12">
        <f>SUM(E3:E10)</f>
        <v>54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ignoredErrors>
    <ignoredError sqref="C13" formulaRange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47C14-D030-45EA-A502-FFAEAFFE78A8}">
  <dimension ref="A1:M13"/>
  <sheetViews>
    <sheetView workbookViewId="0">
      <selection activeCell="D7" sqref="D7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14</v>
      </c>
      <c r="C3" s="5">
        <v>126</v>
      </c>
      <c r="D3" s="5">
        <v>110</v>
      </c>
      <c r="E3" s="5">
        <v>16</v>
      </c>
      <c r="F3" s="6">
        <v>1.0300925925925926E-3</v>
      </c>
      <c r="G3" s="6">
        <v>3.0092592592592595E-4</v>
      </c>
      <c r="H3" s="6">
        <v>4.5138888888888892E-4</v>
      </c>
      <c r="I3" s="6">
        <v>1.9907407407407408E-3</v>
      </c>
      <c r="J3" s="6">
        <v>7.175925925925927E-4</v>
      </c>
      <c r="K3" s="7">
        <v>0.64290000000000003</v>
      </c>
      <c r="L3" s="7">
        <v>0.35709999999999997</v>
      </c>
      <c r="M3" s="8">
        <v>0.15</v>
      </c>
    </row>
    <row r="4" spans="1:13" ht="16.5" customHeight="1" x14ac:dyDescent="0.3">
      <c r="A4" s="4">
        <f>SUBTOTAL(3,$B$2:B4)-1</f>
        <v>2</v>
      </c>
      <c r="B4" s="4" t="s">
        <v>15</v>
      </c>
      <c r="C4" s="5">
        <v>173</v>
      </c>
      <c r="D4" s="5">
        <v>144</v>
      </c>
      <c r="E4" s="5">
        <v>29</v>
      </c>
      <c r="F4" s="6">
        <v>8.6805555555555551E-4</v>
      </c>
      <c r="G4" s="6">
        <v>2.5462962962962961E-4</v>
      </c>
      <c r="H4" s="6">
        <v>3.7037037037037035E-4</v>
      </c>
      <c r="I4" s="6">
        <v>1.9675925925925928E-3</v>
      </c>
      <c r="J4" s="6">
        <v>6.134259259259259E-4</v>
      </c>
      <c r="K4" s="7">
        <v>0.64739999999999998</v>
      </c>
      <c r="L4" s="7">
        <v>0.35260000000000002</v>
      </c>
      <c r="M4" s="8">
        <v>0.19</v>
      </c>
    </row>
    <row r="5" spans="1:13" ht="16.5" customHeight="1" x14ac:dyDescent="0.3">
      <c r="A5" s="4">
        <f>SUBTOTAL(3,$B$2:B5)-1</f>
        <v>3</v>
      </c>
      <c r="B5" s="4" t="s">
        <v>19</v>
      </c>
      <c r="C5" s="5">
        <v>164</v>
      </c>
      <c r="D5" s="5">
        <v>158</v>
      </c>
      <c r="E5" s="5">
        <v>6</v>
      </c>
      <c r="F5" s="6">
        <v>8.3333333333333339E-4</v>
      </c>
      <c r="G5" s="6">
        <v>2.0833333333333335E-4</v>
      </c>
      <c r="H5" s="6">
        <v>3.2407407407407406E-4</v>
      </c>
      <c r="I5" s="6">
        <v>2.3842592592592591E-3</v>
      </c>
      <c r="J5" s="6">
        <v>6.134259259259259E-4</v>
      </c>
      <c r="K5" s="7">
        <v>0.73780000000000001</v>
      </c>
      <c r="L5" s="7">
        <v>0.26219999999999999</v>
      </c>
      <c r="M5" s="8">
        <v>0.16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68</v>
      </c>
      <c r="D6" s="5">
        <v>61</v>
      </c>
      <c r="E6" s="5">
        <v>7</v>
      </c>
      <c r="F6" s="6">
        <v>8.6805555555555551E-4</v>
      </c>
      <c r="G6" s="6">
        <v>1.9675925925925926E-4</v>
      </c>
      <c r="H6" s="6">
        <v>3.0092592592592595E-4</v>
      </c>
      <c r="I6" s="6">
        <v>1.3078703703703705E-3</v>
      </c>
      <c r="J6" s="6">
        <v>6.7129629629629625E-4</v>
      </c>
      <c r="K6" s="7">
        <v>0.76470000000000005</v>
      </c>
      <c r="L6" s="7">
        <v>0.23530000000000001</v>
      </c>
      <c r="M6" s="8">
        <v>0.2</v>
      </c>
    </row>
    <row r="7" spans="1:13" ht="16.5" customHeight="1" x14ac:dyDescent="0.3">
      <c r="A7" s="4">
        <f>SUBTOTAL(3,$B$2:B7)-1</f>
        <v>5</v>
      </c>
      <c r="B7" s="4" t="s">
        <v>13</v>
      </c>
      <c r="C7" s="5">
        <v>71</v>
      </c>
      <c r="D7" s="5">
        <v>63</v>
      </c>
      <c r="E7" s="5">
        <v>8</v>
      </c>
      <c r="F7" s="6">
        <v>1.1574074074074073E-3</v>
      </c>
      <c r="G7" s="6">
        <v>2.5462962962962961E-4</v>
      </c>
      <c r="H7" s="6">
        <v>3.7037037037037035E-4</v>
      </c>
      <c r="I7" s="6">
        <v>2.5462962962962961E-3</v>
      </c>
      <c r="J7" s="6">
        <v>8.9120370370370362E-4</v>
      </c>
      <c r="K7" s="7">
        <v>0.77459999999999996</v>
      </c>
      <c r="L7" s="7">
        <v>0.22539999999999999</v>
      </c>
      <c r="M7" s="8">
        <v>0.13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11</v>
      </c>
      <c r="D8" s="5">
        <v>10</v>
      </c>
      <c r="E8" s="5">
        <v>1</v>
      </c>
      <c r="F8" s="6">
        <v>6.9444444444444447E-4</v>
      </c>
      <c r="G8" s="6">
        <v>1.7361111111111112E-4</v>
      </c>
      <c r="H8" s="6">
        <v>4.8611111111111104E-4</v>
      </c>
      <c r="I8" s="6">
        <v>2.5462962962962961E-3</v>
      </c>
      <c r="J8" s="6">
        <v>5.2083333333333333E-4</v>
      </c>
      <c r="K8" s="7">
        <v>0.81820000000000004</v>
      </c>
      <c r="L8" s="7">
        <v>0.18179999999999999</v>
      </c>
      <c r="M8" s="8">
        <v>7.0000000000000007E-2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40</v>
      </c>
      <c r="D9" s="5">
        <v>36</v>
      </c>
      <c r="E9" s="5">
        <v>4</v>
      </c>
      <c r="F9" s="6">
        <v>7.6388888888888893E-4</v>
      </c>
      <c r="G9" s="6">
        <v>1.3888888888888889E-4</v>
      </c>
      <c r="H9" s="6">
        <v>1.9675925925925926E-4</v>
      </c>
      <c r="I9" s="6">
        <v>1.2268518518518518E-3</v>
      </c>
      <c r="J9" s="6">
        <v>6.134259259259259E-4</v>
      </c>
      <c r="K9" s="7">
        <v>0.82499999999999996</v>
      </c>
      <c r="L9" s="7">
        <v>0.17499999999999999</v>
      </c>
      <c r="M9" s="8">
        <v>0.05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67</v>
      </c>
      <c r="D10" s="5">
        <v>65</v>
      </c>
      <c r="E10" s="5">
        <v>2</v>
      </c>
      <c r="F10" s="6">
        <v>6.9444444444444447E-4</v>
      </c>
      <c r="G10" s="6">
        <v>6.9444444444444444E-5</v>
      </c>
      <c r="H10" s="6">
        <v>8.1018518518518516E-5</v>
      </c>
      <c r="I10" s="6">
        <v>4.5138888888888892E-4</v>
      </c>
      <c r="J10" s="6">
        <v>6.2500000000000001E-4</v>
      </c>
      <c r="K10" s="7">
        <v>0.95520000000000005</v>
      </c>
      <c r="L10" s="7">
        <v>4.48E-2</v>
      </c>
      <c r="M10" s="8">
        <v>0.05</v>
      </c>
    </row>
    <row r="11" spans="1:13" ht="16.5" x14ac:dyDescent="0.3">
      <c r="A11" s="4">
        <f>SUBTOTAL(3,$B$2:B11)-1</f>
        <v>9</v>
      </c>
      <c r="B11" s="4" t="s">
        <v>21</v>
      </c>
      <c r="C11" s="15">
        <v>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55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720</v>
      </c>
      <c r="D13" s="12">
        <f>SUM(D3:D10)</f>
        <v>647</v>
      </c>
      <c r="E13" s="12">
        <f>SUM(E3:E10)</f>
        <v>73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A444-C0CA-48B5-B29A-333AF130BB5B}">
  <dimension ref="A1:M13"/>
  <sheetViews>
    <sheetView workbookViewId="0">
      <selection activeCell="C13" sqref="C1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277</v>
      </c>
      <c r="D3" s="5">
        <v>209</v>
      </c>
      <c r="E3" s="5">
        <v>68</v>
      </c>
      <c r="F3" s="6">
        <v>1.2268518518518518E-3</v>
      </c>
      <c r="G3" s="6">
        <v>6.5972222222222213E-4</v>
      </c>
      <c r="H3" s="6">
        <v>8.1018518518518516E-4</v>
      </c>
      <c r="I3" s="6">
        <v>8.7037037037037031E-3</v>
      </c>
      <c r="J3" s="6">
        <v>5.5555555555555556E-4</v>
      </c>
      <c r="K3" s="7">
        <v>0.26350000000000001</v>
      </c>
      <c r="L3" s="7">
        <v>0.73650000000000004</v>
      </c>
      <c r="M3" s="8">
        <v>0.24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143</v>
      </c>
      <c r="D4" s="5">
        <v>107</v>
      </c>
      <c r="E4" s="5">
        <v>36</v>
      </c>
      <c r="F4" s="6">
        <v>1.1921296296296296E-3</v>
      </c>
      <c r="G4" s="6">
        <v>6.134259259259259E-4</v>
      </c>
      <c r="H4" s="6">
        <v>7.0601851851851847E-4</v>
      </c>
      <c r="I4" s="6">
        <v>7.6851851851851847E-3</v>
      </c>
      <c r="J4" s="6">
        <v>5.7870370370370378E-4</v>
      </c>
      <c r="K4" s="7">
        <v>0.50349999999999995</v>
      </c>
      <c r="L4" s="7">
        <v>0.4965</v>
      </c>
      <c r="M4" s="8">
        <v>0.14000000000000001</v>
      </c>
    </row>
    <row r="5" spans="1:13" ht="16.5" customHeight="1" x14ac:dyDescent="0.3">
      <c r="A5" s="4">
        <f>SUBTOTAL(3,$B$2:B5)-1</f>
        <v>3</v>
      </c>
      <c r="B5" s="4" t="s">
        <v>19</v>
      </c>
      <c r="C5" s="5">
        <v>184</v>
      </c>
      <c r="D5" s="5">
        <v>162</v>
      </c>
      <c r="E5" s="5">
        <v>22</v>
      </c>
      <c r="F5" s="6">
        <v>9.3750000000000007E-4</v>
      </c>
      <c r="G5" s="6">
        <v>2.6620370370370372E-4</v>
      </c>
      <c r="H5" s="6">
        <v>4.8611111111111104E-4</v>
      </c>
      <c r="I5" s="6">
        <v>3.3101851851851851E-3</v>
      </c>
      <c r="J5" s="6">
        <v>6.5972222222222213E-4</v>
      </c>
      <c r="K5" s="7">
        <v>0.57069999999999999</v>
      </c>
      <c r="L5" s="7">
        <v>0.42930000000000001</v>
      </c>
      <c r="M5" s="8">
        <v>0.13</v>
      </c>
    </row>
    <row r="6" spans="1:13" ht="16.5" customHeight="1" x14ac:dyDescent="0.3">
      <c r="A6" s="4">
        <f>SUBTOTAL(3,$B$2:B6)-1</f>
        <v>4</v>
      </c>
      <c r="B6" s="4" t="s">
        <v>20</v>
      </c>
      <c r="C6" s="5">
        <v>16</v>
      </c>
      <c r="D6" s="5">
        <v>14</v>
      </c>
      <c r="E6" s="5">
        <v>2</v>
      </c>
      <c r="F6" s="6">
        <v>1.2847222222222223E-3</v>
      </c>
      <c r="G6" s="6">
        <v>4.3981481481481481E-4</v>
      </c>
      <c r="H6" s="6">
        <v>7.0601851851851847E-4</v>
      </c>
      <c r="I6" s="6">
        <v>3.2986111111111111E-3</v>
      </c>
      <c r="J6" s="6">
        <v>8.449074074074075E-4</v>
      </c>
      <c r="K6" s="7">
        <v>0.625</v>
      </c>
      <c r="L6" s="7">
        <v>0.375</v>
      </c>
      <c r="M6" s="8">
        <v>0.06</v>
      </c>
    </row>
    <row r="7" spans="1:13" ht="16.5" customHeight="1" x14ac:dyDescent="0.3">
      <c r="A7" s="4">
        <f>SUBTOTAL(3,$B$2:B7)-1</f>
        <v>5</v>
      </c>
      <c r="B7" s="4" t="s">
        <v>16</v>
      </c>
      <c r="C7" s="5">
        <v>86</v>
      </c>
      <c r="D7" s="5">
        <v>73</v>
      </c>
      <c r="E7" s="5">
        <v>13</v>
      </c>
      <c r="F7" s="6">
        <v>7.9861111111111105E-4</v>
      </c>
      <c r="G7" s="6">
        <v>2.3148148148148146E-4</v>
      </c>
      <c r="H7" s="6">
        <v>4.0509259259259258E-4</v>
      </c>
      <c r="I7" s="6">
        <v>1.6782407407407406E-3</v>
      </c>
      <c r="J7" s="6">
        <v>5.6712962962962956E-4</v>
      </c>
      <c r="K7" s="7">
        <v>0.6744</v>
      </c>
      <c r="L7" s="7">
        <v>0.3256</v>
      </c>
      <c r="M7" s="8">
        <v>0.2</v>
      </c>
    </row>
    <row r="8" spans="1:13" ht="16.5" customHeight="1" x14ac:dyDescent="0.3">
      <c r="A8" s="4">
        <f>SUBTOTAL(3,$B$2:B8)-1</f>
        <v>6</v>
      </c>
      <c r="B8" s="4" t="s">
        <v>17</v>
      </c>
      <c r="C8" s="5">
        <v>67</v>
      </c>
      <c r="D8" s="5">
        <v>62</v>
      </c>
      <c r="E8" s="5">
        <v>5</v>
      </c>
      <c r="F8" s="6">
        <v>8.9120370370370362E-4</v>
      </c>
      <c r="G8" s="6">
        <v>1.3888888888888889E-4</v>
      </c>
      <c r="H8" s="6">
        <v>2.6620370370370372E-4</v>
      </c>
      <c r="I8" s="6">
        <v>1.9212962962962962E-3</v>
      </c>
      <c r="J8" s="6">
        <v>7.5231481481481471E-4</v>
      </c>
      <c r="K8" s="7">
        <v>0.76119999999999999</v>
      </c>
      <c r="L8" s="7">
        <v>0.23880000000000001</v>
      </c>
      <c r="M8" s="8">
        <v>0.05</v>
      </c>
    </row>
    <row r="9" spans="1:13" ht="16.5" customHeight="1" x14ac:dyDescent="0.3">
      <c r="A9" s="4">
        <f>SUBTOTAL(3,$B$2:B9)-1</f>
        <v>7</v>
      </c>
      <c r="B9" s="4" t="s">
        <v>14</v>
      </c>
      <c r="C9" s="5">
        <v>128</v>
      </c>
      <c r="D9" s="5">
        <v>117</v>
      </c>
      <c r="E9" s="5">
        <v>11</v>
      </c>
      <c r="F9" s="6">
        <v>8.6805555555555551E-4</v>
      </c>
      <c r="G9" s="6">
        <v>1.273148148148148E-4</v>
      </c>
      <c r="H9" s="6">
        <v>2.0833333333333335E-4</v>
      </c>
      <c r="I9" s="6">
        <v>1.7245370370370372E-3</v>
      </c>
      <c r="J9" s="6">
        <v>7.407407407407407E-4</v>
      </c>
      <c r="K9" s="7">
        <v>0.82030000000000003</v>
      </c>
      <c r="L9" s="7">
        <v>0.1797</v>
      </c>
      <c r="M9" s="8">
        <v>0.12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67</v>
      </c>
      <c r="D10" s="5">
        <v>66</v>
      </c>
      <c r="E10" s="5">
        <v>1</v>
      </c>
      <c r="F10" s="6">
        <v>6.7129629629629625E-4</v>
      </c>
      <c r="G10" s="6">
        <v>9.2592592592592588E-5</v>
      </c>
      <c r="H10" s="6">
        <v>1.3888888888888889E-4</v>
      </c>
      <c r="I10" s="6">
        <v>9.3750000000000007E-4</v>
      </c>
      <c r="J10" s="6">
        <v>5.7870370370370378E-4</v>
      </c>
      <c r="K10" s="7">
        <v>0.83579999999999999</v>
      </c>
      <c r="L10" s="7">
        <v>0.16420000000000001</v>
      </c>
      <c r="M10" s="8">
        <v>0.06</v>
      </c>
    </row>
    <row r="11" spans="1:13" ht="16.5" x14ac:dyDescent="0.3">
      <c r="A11" s="4">
        <f>SUBTOTAL(3,$B$2:B11)-1</f>
        <v>9</v>
      </c>
      <c r="B11" s="4" t="s">
        <v>21</v>
      </c>
      <c r="C11" s="15">
        <v>60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36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968</v>
      </c>
      <c r="D13" s="12">
        <f>SUM(D3:D10)</f>
        <v>810</v>
      </c>
      <c r="E13" s="12">
        <f>SUM(E3:E10)</f>
        <v>158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472C-53BE-48A5-9BF4-259DB27C72F2}">
  <dimension ref="A1:M13"/>
  <sheetViews>
    <sheetView workbookViewId="0">
      <selection activeCell="C13" sqref="C13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49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19</v>
      </c>
      <c r="C3" s="5">
        <v>185</v>
      </c>
      <c r="D3" s="5">
        <f>C3-E3</f>
        <v>142</v>
      </c>
      <c r="E3" s="5">
        <v>43</v>
      </c>
      <c r="F3" s="6">
        <v>1.1342592592592591E-3</v>
      </c>
      <c r="G3" s="6">
        <v>4.0509259259259258E-4</v>
      </c>
      <c r="H3" s="6">
        <v>6.5972222222222213E-4</v>
      </c>
      <c r="I3" s="6">
        <v>5.4861111111111117E-3</v>
      </c>
      <c r="J3" s="6">
        <v>7.291666666666667E-4</v>
      </c>
      <c r="K3" s="7">
        <v>0.30270000000000002</v>
      </c>
      <c r="L3" s="7">
        <v>0.69730000000000003</v>
      </c>
      <c r="M3" s="8">
        <v>0.14000000000000001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227</v>
      </c>
      <c r="D4" s="5">
        <f t="shared" ref="D4:D10" si="0">C4-E4</f>
        <v>157</v>
      </c>
      <c r="E4" s="5">
        <v>70</v>
      </c>
      <c r="F4" s="6">
        <v>1.2847222222222223E-3</v>
      </c>
      <c r="G4" s="6">
        <v>5.5555555555555556E-4</v>
      </c>
      <c r="H4" s="6">
        <v>8.9120370370370362E-4</v>
      </c>
      <c r="I4" s="6">
        <v>5.5787037037037038E-3</v>
      </c>
      <c r="J4" s="6">
        <v>7.175925925925927E-4</v>
      </c>
      <c r="K4" s="7">
        <v>0.3392</v>
      </c>
      <c r="L4" s="7">
        <v>0.66080000000000005</v>
      </c>
      <c r="M4" s="8">
        <v>0.13</v>
      </c>
    </row>
    <row r="5" spans="1:13" ht="16.5" customHeight="1" x14ac:dyDescent="0.3">
      <c r="A5" s="4">
        <f>SUBTOTAL(3,$B$2:B5)-1</f>
        <v>3</v>
      </c>
      <c r="B5" s="4" t="s">
        <v>15</v>
      </c>
      <c r="C5" s="5">
        <v>206</v>
      </c>
      <c r="D5" s="5">
        <f t="shared" si="0"/>
        <v>166</v>
      </c>
      <c r="E5" s="5">
        <v>40</v>
      </c>
      <c r="F5" s="6">
        <v>9.0277777777777784E-4</v>
      </c>
      <c r="G5" s="6">
        <v>3.9351851851851852E-4</v>
      </c>
      <c r="H5" s="6">
        <v>6.018518518518519E-4</v>
      </c>
      <c r="I5" s="6">
        <v>2.3495370370370371E-3</v>
      </c>
      <c r="J5" s="6">
        <v>5.0925925925925921E-4</v>
      </c>
      <c r="K5" s="7">
        <v>0.41749999999999998</v>
      </c>
      <c r="L5" s="7">
        <v>0.58250000000000002</v>
      </c>
      <c r="M5" s="8">
        <v>0.21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117</v>
      </c>
      <c r="D6" s="5">
        <f t="shared" si="0"/>
        <v>95</v>
      </c>
      <c r="E6" s="5">
        <v>22</v>
      </c>
      <c r="F6" s="6">
        <v>9.1435185185185185E-4</v>
      </c>
      <c r="G6" s="6">
        <v>3.5879629629629635E-4</v>
      </c>
      <c r="H6" s="6">
        <v>5.7870370370370378E-4</v>
      </c>
      <c r="I6" s="6">
        <v>1.9791666666666668E-3</v>
      </c>
      <c r="J6" s="6">
        <v>5.4398148148148144E-4</v>
      </c>
      <c r="K6" s="7">
        <v>0.47860000000000003</v>
      </c>
      <c r="L6" s="7">
        <v>0.52139999999999997</v>
      </c>
      <c r="M6" s="8">
        <v>0.17</v>
      </c>
    </row>
    <row r="7" spans="1:13" ht="16.5" customHeight="1" x14ac:dyDescent="0.3">
      <c r="A7" s="4">
        <f>SUBTOTAL(3,$B$2:B7)-1</f>
        <v>5</v>
      </c>
      <c r="B7" s="4" t="s">
        <v>14</v>
      </c>
      <c r="C7" s="5">
        <v>118</v>
      </c>
      <c r="D7" s="5">
        <f t="shared" si="0"/>
        <v>106</v>
      </c>
      <c r="E7" s="5">
        <v>12</v>
      </c>
      <c r="F7" s="6">
        <v>9.9537037037037042E-4</v>
      </c>
      <c r="G7" s="6">
        <v>1.5046296296296297E-4</v>
      </c>
      <c r="H7" s="6">
        <v>2.7777777777777778E-4</v>
      </c>
      <c r="I7" s="6">
        <v>2.0601851851851853E-3</v>
      </c>
      <c r="J7" s="6">
        <v>8.3333333333333339E-4</v>
      </c>
      <c r="K7" s="7">
        <v>0.71189999999999998</v>
      </c>
      <c r="L7" s="7">
        <v>0.28810000000000002</v>
      </c>
      <c r="M7" s="8">
        <v>0.16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29</v>
      </c>
      <c r="D8" s="5">
        <f t="shared" si="0"/>
        <v>26</v>
      </c>
      <c r="E8" s="5">
        <v>3</v>
      </c>
      <c r="F8" s="6">
        <v>8.3333333333333339E-4</v>
      </c>
      <c r="G8" s="6">
        <v>2.6620370370370372E-4</v>
      </c>
      <c r="H8" s="6">
        <v>3.9351851851851852E-4</v>
      </c>
      <c r="I8" s="6">
        <v>2.5694444444444445E-3</v>
      </c>
      <c r="J8" s="6">
        <v>5.6712962962962956E-4</v>
      </c>
      <c r="K8" s="7">
        <v>0.79310000000000003</v>
      </c>
      <c r="L8" s="7">
        <v>0.2069</v>
      </c>
      <c r="M8" s="8">
        <v>7.0000000000000007E-2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58</v>
      </c>
      <c r="D9" s="5">
        <f t="shared" si="0"/>
        <v>52</v>
      </c>
      <c r="E9" s="5">
        <v>6</v>
      </c>
      <c r="F9" s="6">
        <v>7.407407407407407E-4</v>
      </c>
      <c r="G9" s="6">
        <v>9.2592592592592588E-5</v>
      </c>
      <c r="H9" s="6">
        <v>1.6203703703703703E-4</v>
      </c>
      <c r="I9" s="6">
        <v>1.3310185185185185E-3</v>
      </c>
      <c r="J9" s="6">
        <v>6.3657407407407402E-4</v>
      </c>
      <c r="K9" s="7">
        <v>0.81030000000000002</v>
      </c>
      <c r="L9" s="7">
        <v>0.18970000000000001</v>
      </c>
      <c r="M9" s="8">
        <v>0.05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58</v>
      </c>
      <c r="D10" s="5">
        <f t="shared" si="0"/>
        <v>55</v>
      </c>
      <c r="E10" s="5">
        <v>3</v>
      </c>
      <c r="F10" s="6">
        <v>6.7129629629629625E-4</v>
      </c>
      <c r="G10" s="6">
        <v>1.0416666666666667E-4</v>
      </c>
      <c r="H10" s="6">
        <v>1.273148148148148E-4</v>
      </c>
      <c r="I10" s="6">
        <v>8.3333333333333339E-4</v>
      </c>
      <c r="J10" s="6">
        <v>5.6712962962962956E-4</v>
      </c>
      <c r="K10" s="7">
        <v>0.91379999999999995</v>
      </c>
      <c r="L10" s="7">
        <v>8.6199999999999999E-2</v>
      </c>
      <c r="M10" s="8">
        <v>7.0000000000000007E-2</v>
      </c>
    </row>
    <row r="11" spans="1:13" ht="16.5" x14ac:dyDescent="0.3">
      <c r="A11" s="4">
        <f>SUBTOTAL(3,$B$2:B11)-1</f>
        <v>9</v>
      </c>
      <c r="B11" s="4" t="s">
        <v>21</v>
      </c>
      <c r="C11" s="15">
        <v>60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23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998</v>
      </c>
      <c r="D13" s="12">
        <f>SUM(D3:D10)</f>
        <v>799</v>
      </c>
      <c r="E13" s="12">
        <f>SUM(E3:E10)</f>
        <v>199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654EC-6FF6-4F04-8170-57F196CAA1C6}">
  <dimension ref="A1:M13"/>
  <sheetViews>
    <sheetView workbookViewId="0">
      <selection activeCell="E5" sqref="E5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50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13</v>
      </c>
      <c r="C3" s="5">
        <v>184</v>
      </c>
      <c r="D3" s="5">
        <v>127</v>
      </c>
      <c r="E3" s="5">
        <v>57</v>
      </c>
      <c r="F3" s="6">
        <v>1.2037037037037038E-3</v>
      </c>
      <c r="G3" s="6">
        <v>3.9351851851851852E-4</v>
      </c>
      <c r="H3" s="6">
        <v>8.7962962962962962E-4</v>
      </c>
      <c r="I3" s="6">
        <v>5.5671296296296302E-3</v>
      </c>
      <c r="J3" s="6">
        <v>8.1018518518518516E-4</v>
      </c>
      <c r="K3" s="7">
        <v>0.32069999999999999</v>
      </c>
      <c r="L3" s="7">
        <v>0.67930000000000001</v>
      </c>
      <c r="M3" s="8">
        <v>0.16</v>
      </c>
    </row>
    <row r="4" spans="1:13" ht="16.5" customHeight="1" x14ac:dyDescent="0.3">
      <c r="A4" s="4">
        <f>SUBTOTAL(3,$B$2:B4)-1</f>
        <v>2</v>
      </c>
      <c r="B4" s="4" t="s">
        <v>16</v>
      </c>
      <c r="C4" s="5">
        <v>83</v>
      </c>
      <c r="D4" s="5">
        <v>65</v>
      </c>
      <c r="E4" s="5">
        <v>18</v>
      </c>
      <c r="F4" s="6">
        <v>1.0763888888888889E-3</v>
      </c>
      <c r="G4" s="6">
        <v>4.6296296296296293E-4</v>
      </c>
      <c r="H4" s="6">
        <v>6.134259259259259E-4</v>
      </c>
      <c r="I4" s="6">
        <v>2.5115740740740741E-3</v>
      </c>
      <c r="J4" s="6">
        <v>6.134259259259259E-4</v>
      </c>
      <c r="K4" s="7">
        <v>0.43369999999999997</v>
      </c>
      <c r="L4" s="7">
        <v>0.56630000000000003</v>
      </c>
      <c r="M4" s="8">
        <v>0.18</v>
      </c>
    </row>
    <row r="5" spans="1:13" ht="16.5" customHeight="1" x14ac:dyDescent="0.3">
      <c r="A5" s="4">
        <f>SUBTOTAL(3,$B$2:B5)-1</f>
        <v>3</v>
      </c>
      <c r="B5" s="4" t="s">
        <v>15</v>
      </c>
      <c r="C5" s="5">
        <v>136</v>
      </c>
      <c r="D5" s="5">
        <v>109</v>
      </c>
      <c r="E5" s="5">
        <v>27</v>
      </c>
      <c r="F5" s="6">
        <v>9.4907407407407408E-4</v>
      </c>
      <c r="G5" s="6">
        <v>4.0509259259259258E-4</v>
      </c>
      <c r="H5" s="6">
        <v>5.3240740740740744E-4</v>
      </c>
      <c r="I5" s="6">
        <v>2.5810185185185185E-3</v>
      </c>
      <c r="J5" s="6">
        <v>5.3240740740740744E-4</v>
      </c>
      <c r="K5" s="7">
        <v>0.52210000000000001</v>
      </c>
      <c r="L5" s="7">
        <v>0.47789999999999999</v>
      </c>
      <c r="M5" s="8">
        <v>0.19</v>
      </c>
    </row>
    <row r="6" spans="1:13" ht="16.5" customHeight="1" x14ac:dyDescent="0.3">
      <c r="A6" s="4">
        <f>SUBTOTAL(3,$B$2:B6)-1</f>
        <v>4</v>
      </c>
      <c r="B6" s="4" t="s">
        <v>17</v>
      </c>
      <c r="C6" s="5">
        <v>32</v>
      </c>
      <c r="D6" s="5">
        <v>30</v>
      </c>
      <c r="E6" s="5">
        <v>2</v>
      </c>
      <c r="F6" s="6">
        <v>9.0277777777777784E-4</v>
      </c>
      <c r="G6" s="6">
        <v>9.2592592592592588E-5</v>
      </c>
      <c r="H6" s="6">
        <v>1.1574074074074073E-4</v>
      </c>
      <c r="I6" s="6">
        <v>6.3657407407407402E-4</v>
      </c>
      <c r="J6" s="6">
        <v>7.9861111111111105E-4</v>
      </c>
      <c r="K6" s="7">
        <v>0.71879999999999999</v>
      </c>
      <c r="L6" s="7">
        <v>0.28120000000000001</v>
      </c>
      <c r="M6" s="8">
        <v>0.06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116</v>
      </c>
      <c r="D7" s="5">
        <v>109</v>
      </c>
      <c r="E7" s="5">
        <v>7</v>
      </c>
      <c r="F7" s="6">
        <v>8.6805555555555551E-4</v>
      </c>
      <c r="G7" s="6">
        <v>1.7361111111111112E-4</v>
      </c>
      <c r="H7" s="6">
        <v>2.8935185185185189E-4</v>
      </c>
      <c r="I7" s="6">
        <v>2.3379629629629631E-3</v>
      </c>
      <c r="J7" s="6">
        <v>6.9444444444444447E-4</v>
      </c>
      <c r="K7" s="7">
        <v>0.76719999999999999</v>
      </c>
      <c r="L7" s="7">
        <v>0.23280000000000001</v>
      </c>
      <c r="M7" s="8">
        <v>0.16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18</v>
      </c>
      <c r="D8" s="5">
        <v>17</v>
      </c>
      <c r="E8" s="5">
        <v>1</v>
      </c>
      <c r="F8" s="6">
        <v>1.0879629629629629E-3</v>
      </c>
      <c r="G8" s="6">
        <v>1.1574074074074073E-4</v>
      </c>
      <c r="H8" s="6">
        <v>1.8518518518518518E-4</v>
      </c>
      <c r="I8" s="6">
        <v>9.8379629629629642E-4</v>
      </c>
      <c r="J8" s="6">
        <v>9.6064814814814808E-4</v>
      </c>
      <c r="K8" s="7">
        <v>0.83330000000000004</v>
      </c>
      <c r="L8" s="7">
        <v>0.16669999999999999</v>
      </c>
      <c r="M8" s="8">
        <v>0.03</v>
      </c>
    </row>
    <row r="9" spans="1:13" ht="16.5" customHeight="1" x14ac:dyDescent="0.3">
      <c r="A9" s="4">
        <f>SUBTOTAL(3,$B$2:B9)-1</f>
        <v>7</v>
      </c>
      <c r="B9" s="4" t="s">
        <v>14</v>
      </c>
      <c r="C9" s="5">
        <v>104</v>
      </c>
      <c r="D9" s="5">
        <v>99</v>
      </c>
      <c r="E9" s="5">
        <v>5</v>
      </c>
      <c r="F9" s="6">
        <v>1.1226851851851851E-3</v>
      </c>
      <c r="G9" s="6">
        <v>2.199074074074074E-4</v>
      </c>
      <c r="H9" s="6">
        <v>2.7777777777777778E-4</v>
      </c>
      <c r="I9" s="6">
        <v>3.4490740740740745E-3</v>
      </c>
      <c r="J9" s="6">
        <v>9.0277777777777784E-4</v>
      </c>
      <c r="K9" s="7">
        <v>0.86539999999999995</v>
      </c>
      <c r="L9" s="7">
        <v>0.1346</v>
      </c>
      <c r="M9" s="8">
        <v>0.16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41</v>
      </c>
      <c r="D10" s="5">
        <v>41</v>
      </c>
      <c r="E10" s="5">
        <v>0</v>
      </c>
      <c r="F10" s="6">
        <v>6.9444444444444447E-4</v>
      </c>
      <c r="G10" s="6">
        <v>8.1018518518518516E-5</v>
      </c>
      <c r="H10" s="6">
        <v>1.0416666666666667E-4</v>
      </c>
      <c r="I10" s="6">
        <v>6.134259259259259E-4</v>
      </c>
      <c r="J10" s="6">
        <v>6.018518518518519E-4</v>
      </c>
      <c r="K10" s="7">
        <v>0.95120000000000005</v>
      </c>
      <c r="L10" s="7">
        <v>4.8800000000000003E-2</v>
      </c>
      <c r="M10" s="8">
        <v>0.06</v>
      </c>
    </row>
    <row r="11" spans="1:13" ht="16.5" x14ac:dyDescent="0.3">
      <c r="A11" s="4">
        <f>SUBTOTAL(3,$B$2:B11)-1</f>
        <v>9</v>
      </c>
      <c r="B11" s="4" t="s">
        <v>21</v>
      </c>
      <c r="C11" s="15">
        <v>40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28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714</v>
      </c>
      <c r="D13" s="12">
        <f>SUM(D3:D10)</f>
        <v>597</v>
      </c>
      <c r="E13" s="12">
        <f>SUM(E3:E10)</f>
        <v>117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C663-67A9-478F-8536-EF10B1DD9170}">
  <dimension ref="A1:M13"/>
  <sheetViews>
    <sheetView workbookViewId="0">
      <selection activeCell="M6" sqref="M6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51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13</v>
      </c>
      <c r="C3" s="5">
        <v>120</v>
      </c>
      <c r="D3" s="5">
        <f t="shared" ref="D3:D10" si="0">C3-E3</f>
        <v>92</v>
      </c>
      <c r="E3" s="5">
        <v>28</v>
      </c>
      <c r="F3" s="6">
        <v>1.1689814814814816E-3</v>
      </c>
      <c r="G3" s="6">
        <v>4.7453703703703704E-4</v>
      </c>
      <c r="H3" s="6">
        <v>7.5231481481481471E-4</v>
      </c>
      <c r="I3" s="6">
        <v>6.2615740740740748E-3</v>
      </c>
      <c r="J3" s="6">
        <v>6.8287037037037025E-4</v>
      </c>
      <c r="K3" s="7">
        <v>0.44169999999999998</v>
      </c>
      <c r="L3" s="7">
        <v>0.55830000000000002</v>
      </c>
      <c r="M3" s="8">
        <v>0.1</v>
      </c>
    </row>
    <row r="4" spans="1:13" ht="16.5" customHeight="1" x14ac:dyDescent="0.3">
      <c r="A4" s="4">
        <f>SUBTOTAL(3,$B$2:B4)-1</f>
        <v>2</v>
      </c>
      <c r="B4" s="4" t="s">
        <v>16</v>
      </c>
      <c r="C4" s="5">
        <v>59</v>
      </c>
      <c r="D4" s="5">
        <f t="shared" si="0"/>
        <v>48</v>
      </c>
      <c r="E4" s="5">
        <v>11</v>
      </c>
      <c r="F4" s="6">
        <v>9.8379629629629642E-4</v>
      </c>
      <c r="G4" s="6">
        <v>3.5879629629629635E-4</v>
      </c>
      <c r="H4" s="6">
        <v>4.6296296296296293E-4</v>
      </c>
      <c r="I4" s="6">
        <v>1.6666666666666668E-3</v>
      </c>
      <c r="J4" s="6">
        <v>6.134259259259259E-4</v>
      </c>
      <c r="K4" s="7">
        <v>0.55930000000000002</v>
      </c>
      <c r="L4" s="7">
        <v>0.44069999999999998</v>
      </c>
      <c r="M4" s="8">
        <v>0.18</v>
      </c>
    </row>
    <row r="5" spans="1:13" ht="16.5" customHeight="1" x14ac:dyDescent="0.3">
      <c r="A5" s="4">
        <f>SUBTOTAL(3,$B$2:B5)-1</f>
        <v>3</v>
      </c>
      <c r="B5" s="4" t="s">
        <v>15</v>
      </c>
      <c r="C5" s="5">
        <v>112</v>
      </c>
      <c r="D5" s="5">
        <f t="shared" si="0"/>
        <v>96</v>
      </c>
      <c r="E5" s="5">
        <v>16</v>
      </c>
      <c r="F5" s="6">
        <v>8.449074074074075E-4</v>
      </c>
      <c r="G5" s="6">
        <v>2.7777777777777778E-4</v>
      </c>
      <c r="H5" s="6">
        <v>4.3981481481481481E-4</v>
      </c>
      <c r="I5" s="6">
        <v>3.1481481481481482E-3</v>
      </c>
      <c r="J5" s="6">
        <v>5.5555555555555556E-4</v>
      </c>
      <c r="K5" s="7">
        <v>0.69640000000000002</v>
      </c>
      <c r="L5" s="7">
        <v>0.30359999999999998</v>
      </c>
      <c r="M5" s="8">
        <v>0.19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117</v>
      </c>
      <c r="D6" s="5">
        <f t="shared" si="0"/>
        <v>108</v>
      </c>
      <c r="E6" s="5">
        <v>9</v>
      </c>
      <c r="F6" s="6">
        <v>9.2592592592592585E-4</v>
      </c>
      <c r="G6" s="6">
        <v>1.7361111111111112E-4</v>
      </c>
      <c r="H6" s="6">
        <v>2.8935185185185189E-4</v>
      </c>
      <c r="I6" s="6">
        <v>2.0254629629629629E-3</v>
      </c>
      <c r="J6" s="6">
        <v>7.5231481481481471E-4</v>
      </c>
      <c r="K6" s="7">
        <v>0.73499999999999999</v>
      </c>
      <c r="L6" s="7">
        <v>0.26500000000000001</v>
      </c>
      <c r="M6" s="8">
        <v>0.19</v>
      </c>
    </row>
    <row r="7" spans="1:13" ht="16.5" customHeight="1" x14ac:dyDescent="0.3">
      <c r="A7" s="4">
        <f>SUBTOTAL(3,$B$2:B7)-1</f>
        <v>5</v>
      </c>
      <c r="B7" s="4" t="s">
        <v>19</v>
      </c>
      <c r="C7" s="5">
        <v>133</v>
      </c>
      <c r="D7" s="5">
        <f t="shared" si="0"/>
        <v>125</v>
      </c>
      <c r="E7" s="5">
        <v>8</v>
      </c>
      <c r="F7" s="6">
        <v>1.0532407407407407E-3</v>
      </c>
      <c r="G7" s="6">
        <v>2.6620370370370372E-4</v>
      </c>
      <c r="H7" s="6">
        <v>3.8194444444444446E-4</v>
      </c>
      <c r="I7" s="6">
        <v>2.0023148148148148E-3</v>
      </c>
      <c r="J7" s="6">
        <v>7.8703703703703705E-4</v>
      </c>
      <c r="K7" s="7">
        <v>0.73680000000000001</v>
      </c>
      <c r="L7" s="7">
        <v>0.26319999999999999</v>
      </c>
      <c r="M7" s="8">
        <v>0.17</v>
      </c>
    </row>
    <row r="8" spans="1:13" ht="16.5" customHeight="1" x14ac:dyDescent="0.3">
      <c r="A8" s="4">
        <f>SUBTOTAL(3,$B$2:B8)-1</f>
        <v>6</v>
      </c>
      <c r="B8" s="4" t="s">
        <v>17</v>
      </c>
      <c r="C8" s="5">
        <v>34</v>
      </c>
      <c r="D8" s="5">
        <f t="shared" si="0"/>
        <v>32</v>
      </c>
      <c r="E8" s="5">
        <v>2</v>
      </c>
      <c r="F8" s="6">
        <v>8.1018518518518516E-4</v>
      </c>
      <c r="G8" s="6">
        <v>6.9444444444444444E-5</v>
      </c>
      <c r="H8" s="6">
        <v>1.0416666666666667E-4</v>
      </c>
      <c r="I8" s="6">
        <v>5.4398148148148144E-4</v>
      </c>
      <c r="J8" s="6">
        <v>7.407407407407407E-4</v>
      </c>
      <c r="K8" s="7">
        <v>0.82350000000000001</v>
      </c>
      <c r="L8" s="7">
        <v>0.17649999999999999</v>
      </c>
      <c r="M8" s="8">
        <v>0.05</v>
      </c>
    </row>
    <row r="9" spans="1:13" ht="16.5" customHeight="1" x14ac:dyDescent="0.3">
      <c r="A9" s="4">
        <f>SUBTOTAL(3,$B$2:B9)-1</f>
        <v>7</v>
      </c>
      <c r="B9" s="4" t="s">
        <v>18</v>
      </c>
      <c r="C9" s="5">
        <v>51</v>
      </c>
      <c r="D9" s="5">
        <f t="shared" si="0"/>
        <v>47</v>
      </c>
      <c r="E9" s="5">
        <v>4</v>
      </c>
      <c r="F9" s="6">
        <v>8.564814814814815E-4</v>
      </c>
      <c r="G9" s="6">
        <v>1.1574074074074073E-4</v>
      </c>
      <c r="H9" s="6">
        <v>1.8518518518518518E-4</v>
      </c>
      <c r="I9" s="6">
        <v>1.4004629629629629E-3</v>
      </c>
      <c r="J9" s="6">
        <v>7.291666666666667E-4</v>
      </c>
      <c r="K9" s="7">
        <v>0.86270000000000002</v>
      </c>
      <c r="L9" s="7">
        <v>0.13730000000000001</v>
      </c>
      <c r="M9" s="8">
        <v>0.05</v>
      </c>
    </row>
    <row r="10" spans="1:13" ht="16.5" customHeight="1" x14ac:dyDescent="0.3">
      <c r="A10" s="4">
        <f>SUBTOTAL(3,$B$2:B10)-1</f>
        <v>8</v>
      </c>
      <c r="B10" s="4" t="s">
        <v>20</v>
      </c>
      <c r="C10" s="5">
        <v>10</v>
      </c>
      <c r="D10" s="5">
        <f t="shared" si="0"/>
        <v>10</v>
      </c>
      <c r="E10" s="5">
        <v>0</v>
      </c>
      <c r="F10" s="6">
        <v>9.1435185185185185E-4</v>
      </c>
      <c r="G10" s="6">
        <v>1.8518518518518518E-4</v>
      </c>
      <c r="H10" s="6">
        <v>1.8518518518518518E-4</v>
      </c>
      <c r="I10" s="6">
        <v>9.6064814814814808E-4</v>
      </c>
      <c r="J10" s="6">
        <v>7.175925925925927E-4</v>
      </c>
      <c r="K10" s="7">
        <v>1</v>
      </c>
      <c r="L10" s="7">
        <v>0</v>
      </c>
      <c r="M10" s="8">
        <v>7.0000000000000007E-2</v>
      </c>
    </row>
    <row r="11" spans="1:13" ht="16.5" x14ac:dyDescent="0.3">
      <c r="A11" s="4">
        <f>SUBTOTAL(3,$B$2:B11)-1</f>
        <v>9</v>
      </c>
      <c r="B11" s="4" t="s">
        <v>21</v>
      </c>
      <c r="C11" s="15">
        <v>33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40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636</v>
      </c>
      <c r="D13" s="12">
        <f>SUM(D3:D10)</f>
        <v>558</v>
      </c>
      <c r="E13" s="12">
        <f>SUM(E3:E10)</f>
        <v>78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4757-A559-409B-9632-8C3E74F0C80C}">
  <dimension ref="A1:M13"/>
  <sheetViews>
    <sheetView workbookViewId="0">
      <selection activeCell="F6" sqref="F6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52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15</v>
      </c>
      <c r="C3" s="5">
        <v>156</v>
      </c>
      <c r="D3" s="5">
        <v>124</v>
      </c>
      <c r="E3" s="5">
        <v>32</v>
      </c>
      <c r="F3" s="6">
        <v>8.6805555555555551E-4</v>
      </c>
      <c r="G3" s="6">
        <v>3.5879629629629635E-4</v>
      </c>
      <c r="H3" s="6">
        <v>5.9027777777777778E-4</v>
      </c>
      <c r="I3" s="6">
        <v>4.5254629629629629E-3</v>
      </c>
      <c r="J3" s="6">
        <v>5.0925925925925921E-4</v>
      </c>
      <c r="K3" s="7">
        <v>0.40379999999999999</v>
      </c>
      <c r="L3" s="7">
        <v>0.59619999999999995</v>
      </c>
      <c r="M3" s="8">
        <v>0.17</v>
      </c>
    </row>
    <row r="4" spans="1:13" ht="16.5" customHeight="1" x14ac:dyDescent="0.3">
      <c r="A4" s="4">
        <f>SUBTOTAL(3,$B$2:B4)-1</f>
        <v>2</v>
      </c>
      <c r="B4" s="4" t="s">
        <v>13</v>
      </c>
      <c r="C4" s="5">
        <v>51</v>
      </c>
      <c r="D4" s="5">
        <v>44</v>
      </c>
      <c r="E4" s="5">
        <v>7</v>
      </c>
      <c r="F4" s="6">
        <v>1.0763888888888889E-3</v>
      </c>
      <c r="G4" s="6">
        <v>3.3564814814814812E-4</v>
      </c>
      <c r="H4" s="6">
        <v>5.5555555555555556E-4</v>
      </c>
      <c r="I4" s="6">
        <v>2.6388888888888885E-3</v>
      </c>
      <c r="J4" s="6">
        <v>7.291666666666667E-4</v>
      </c>
      <c r="K4" s="7">
        <v>0.66669999999999996</v>
      </c>
      <c r="L4" s="7">
        <v>0.33329999999999999</v>
      </c>
      <c r="M4" s="8">
        <v>0.13</v>
      </c>
    </row>
    <row r="5" spans="1:13" ht="16.5" customHeight="1" x14ac:dyDescent="0.3">
      <c r="A5" s="4">
        <f>SUBTOTAL(3,$B$2:B5)-1</f>
        <v>3</v>
      </c>
      <c r="B5" s="4" t="s">
        <v>14</v>
      </c>
      <c r="C5" s="5">
        <v>84</v>
      </c>
      <c r="D5" s="5">
        <v>76</v>
      </c>
      <c r="E5" s="5">
        <v>8</v>
      </c>
      <c r="F5" s="6">
        <v>1.0995370370370371E-3</v>
      </c>
      <c r="G5" s="6">
        <v>2.3148148148148146E-4</v>
      </c>
      <c r="H5" s="6">
        <v>3.2407407407407406E-4</v>
      </c>
      <c r="I5" s="6">
        <v>1.7245370370370372E-3</v>
      </c>
      <c r="J5" s="6">
        <v>8.6805555555555551E-4</v>
      </c>
      <c r="K5" s="7">
        <v>0.70240000000000002</v>
      </c>
      <c r="L5" s="7">
        <v>0.29759999999999998</v>
      </c>
      <c r="M5" s="8">
        <v>0.18</v>
      </c>
    </row>
    <row r="6" spans="1:13" ht="16.5" customHeight="1" x14ac:dyDescent="0.3">
      <c r="A6" s="4">
        <f>SUBTOTAL(3,$B$2:B6)-1</f>
        <v>4</v>
      </c>
      <c r="B6" s="4" t="s">
        <v>16</v>
      </c>
      <c r="C6" s="5">
        <v>37</v>
      </c>
      <c r="D6" s="5">
        <v>36</v>
      </c>
      <c r="E6" s="5">
        <v>1</v>
      </c>
      <c r="F6" s="6">
        <v>8.564814814814815E-4</v>
      </c>
      <c r="G6" s="6">
        <v>2.5462962962962961E-4</v>
      </c>
      <c r="H6" s="6">
        <v>4.1666666666666669E-4</v>
      </c>
      <c r="I6" s="6">
        <v>1.9675925925925928E-3</v>
      </c>
      <c r="J6" s="6">
        <v>5.9027777777777778E-4</v>
      </c>
      <c r="K6" s="7">
        <v>0.72970000000000002</v>
      </c>
      <c r="L6" s="7">
        <v>0.27029999999999998</v>
      </c>
      <c r="M6" s="8">
        <v>0.17</v>
      </c>
    </row>
    <row r="7" spans="1:13" ht="16.5" customHeight="1" x14ac:dyDescent="0.3">
      <c r="A7" s="4">
        <f>SUBTOTAL(3,$B$2:B7)-1</f>
        <v>5</v>
      </c>
      <c r="B7" s="4" t="s">
        <v>18</v>
      </c>
      <c r="C7" s="5">
        <v>48</v>
      </c>
      <c r="D7" s="5">
        <v>44</v>
      </c>
      <c r="E7" s="5">
        <v>4</v>
      </c>
      <c r="F7" s="6">
        <v>7.175925925925927E-4</v>
      </c>
      <c r="G7" s="6">
        <v>6.9444444444444444E-5</v>
      </c>
      <c r="H7" s="6">
        <v>1.3888888888888889E-4</v>
      </c>
      <c r="I7" s="6">
        <v>7.7546296296296304E-4</v>
      </c>
      <c r="J7" s="6">
        <v>6.3657407407407402E-4</v>
      </c>
      <c r="K7" s="7">
        <v>0.77080000000000004</v>
      </c>
      <c r="L7" s="7">
        <v>0.22919999999999999</v>
      </c>
      <c r="M7" s="8">
        <v>0.05</v>
      </c>
    </row>
    <row r="8" spans="1:13" ht="16.5" customHeight="1" x14ac:dyDescent="0.3">
      <c r="A8" s="4">
        <f>SUBTOTAL(3,$B$2:B8)-1</f>
        <v>6</v>
      </c>
      <c r="B8" s="4" t="s">
        <v>19</v>
      </c>
      <c r="C8" s="5">
        <v>88</v>
      </c>
      <c r="D8" s="5">
        <v>84</v>
      </c>
      <c r="E8" s="5">
        <v>4</v>
      </c>
      <c r="F8" s="6">
        <v>9.4907407407407408E-4</v>
      </c>
      <c r="G8" s="6">
        <v>1.8518518518518518E-4</v>
      </c>
      <c r="H8" s="6">
        <v>2.7777777777777778E-4</v>
      </c>
      <c r="I8" s="6">
        <v>1.7708333333333332E-3</v>
      </c>
      <c r="J8" s="6">
        <v>7.5231481481481471E-4</v>
      </c>
      <c r="K8" s="7">
        <v>0.80679999999999996</v>
      </c>
      <c r="L8" s="7">
        <v>0.19320000000000001</v>
      </c>
      <c r="M8" s="8">
        <v>0.17</v>
      </c>
    </row>
    <row r="9" spans="1:13" ht="16.5" customHeight="1" x14ac:dyDescent="0.3">
      <c r="A9" s="4">
        <f>SUBTOTAL(3,$B$2:B9)-1</f>
        <v>7</v>
      </c>
      <c r="B9" s="4" t="s">
        <v>20</v>
      </c>
      <c r="C9" s="5">
        <v>24</v>
      </c>
      <c r="D9" s="5">
        <v>23</v>
      </c>
      <c r="E9" s="5">
        <v>1</v>
      </c>
      <c r="F9" s="6">
        <v>9.0277777777777784E-4</v>
      </c>
      <c r="G9" s="6">
        <v>1.5046296296296297E-4</v>
      </c>
      <c r="H9" s="6">
        <v>3.5879629629629635E-4</v>
      </c>
      <c r="I9" s="6">
        <v>2.627314814814815E-3</v>
      </c>
      <c r="J9" s="6">
        <v>7.407407407407407E-4</v>
      </c>
      <c r="K9" s="7">
        <v>0.83330000000000004</v>
      </c>
      <c r="L9" s="7">
        <v>0.16669999999999999</v>
      </c>
      <c r="M9" s="8">
        <v>0.08</v>
      </c>
    </row>
    <row r="10" spans="1:13" ht="16.5" customHeight="1" x14ac:dyDescent="0.3">
      <c r="A10" s="4">
        <f>SUBTOTAL(3,$B$2:B10)-1</f>
        <v>8</v>
      </c>
      <c r="B10" s="4" t="s">
        <v>17</v>
      </c>
      <c r="C10" s="5">
        <v>37</v>
      </c>
      <c r="D10" s="5">
        <v>36</v>
      </c>
      <c r="E10" s="5">
        <v>1</v>
      </c>
      <c r="F10" s="6">
        <v>8.3333333333333339E-4</v>
      </c>
      <c r="G10" s="6">
        <v>1.6203703703703703E-4</v>
      </c>
      <c r="H10" s="6">
        <v>2.4305555555555552E-4</v>
      </c>
      <c r="I10" s="6">
        <v>2.2453703703703702E-3</v>
      </c>
      <c r="J10" s="6">
        <v>6.5972222222222213E-4</v>
      </c>
      <c r="K10" s="7">
        <v>0.8649</v>
      </c>
      <c r="L10" s="7">
        <v>0.1351</v>
      </c>
      <c r="M10" s="8">
        <v>0.05</v>
      </c>
    </row>
    <row r="11" spans="1:13" ht="16.5" x14ac:dyDescent="0.3">
      <c r="A11" s="4">
        <f>SUBTOTAL(3,$B$2:B11)-1</f>
        <v>9</v>
      </c>
      <c r="B11" s="4" t="s">
        <v>21</v>
      </c>
      <c r="C11" s="15">
        <v>28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0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525</v>
      </c>
      <c r="D13" s="12">
        <f>SUM(D3:D10)</f>
        <v>467</v>
      </c>
      <c r="E13" s="12">
        <f>SUM(E3:E10)</f>
        <v>58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ADB8D-A395-408E-BD82-61275D8067A1}">
  <dimension ref="A1:M13"/>
  <sheetViews>
    <sheetView tabSelected="1" topLeftCell="A4" workbookViewId="0">
      <selection activeCell="O8" sqref="O8"/>
    </sheetView>
  </sheetViews>
  <sheetFormatPr defaultColWidth="9.109375" defaultRowHeight="14.4" x14ac:dyDescent="0.3"/>
  <cols>
    <col min="1" max="1" width="6.5546875" style="1" bestFit="1" customWidth="1"/>
    <col min="2" max="2" width="25" style="1" bestFit="1" customWidth="1"/>
    <col min="3" max="3" width="10.88671875" style="1" customWidth="1"/>
    <col min="4" max="4" width="11.88671875" style="1" customWidth="1"/>
    <col min="5" max="5" width="13.109375" style="1" customWidth="1"/>
    <col min="6" max="6" width="10.88671875" style="1" customWidth="1"/>
    <col min="7" max="7" width="11.88671875" style="1" customWidth="1"/>
    <col min="8" max="10" width="10.88671875" style="1" customWidth="1"/>
    <col min="11" max="11" width="11.44140625" style="1" customWidth="1"/>
    <col min="12" max="13" width="10.88671875" style="1" customWidth="1"/>
    <col min="14" max="16384" width="9.109375" style="1"/>
  </cols>
  <sheetData>
    <row r="1" spans="1:13" ht="20.399999999999999" customHeight="1" x14ac:dyDescent="0.3">
      <c r="A1" s="13" t="s">
        <v>53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75.75" x14ac:dyDescent="0.3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3" ht="16.5" customHeight="1" x14ac:dyDescent="0.3">
      <c r="A3" s="4">
        <f>SUBTOTAL(3,$B$2:B3)-1</f>
        <v>1</v>
      </c>
      <c r="B3" s="4" t="s">
        <v>19</v>
      </c>
      <c r="C3" s="5">
        <v>125</v>
      </c>
      <c r="D3" s="5">
        <v>107</v>
      </c>
      <c r="E3" s="5">
        <v>18</v>
      </c>
      <c r="F3" s="6">
        <v>9.6064814814814808E-4</v>
      </c>
      <c r="G3" s="6">
        <v>2.3148148148148146E-4</v>
      </c>
      <c r="H3" s="6">
        <v>4.0509259259259258E-4</v>
      </c>
      <c r="I3" s="6">
        <v>2.0023148148148148E-3</v>
      </c>
      <c r="J3" s="6">
        <v>7.175925925925927E-4</v>
      </c>
      <c r="K3" s="7">
        <v>0.52800000000000002</v>
      </c>
      <c r="L3" s="7">
        <v>0.47199999999999998</v>
      </c>
      <c r="M3" s="8">
        <v>0.13</v>
      </c>
    </row>
    <row r="4" spans="1:13" ht="16.5" customHeight="1" x14ac:dyDescent="0.3">
      <c r="A4" s="4">
        <f>SUBTOTAL(3,$B$2:B4)-1</f>
        <v>2</v>
      </c>
      <c r="B4" s="4" t="s">
        <v>16</v>
      </c>
      <c r="C4" s="5">
        <v>47</v>
      </c>
      <c r="D4" s="5">
        <v>42</v>
      </c>
      <c r="E4" s="5">
        <v>5</v>
      </c>
      <c r="F4" s="6">
        <v>1.1689814814814816E-3</v>
      </c>
      <c r="G4" s="6">
        <v>3.8194444444444446E-4</v>
      </c>
      <c r="H4" s="6">
        <v>5.4398148148148144E-4</v>
      </c>
      <c r="I4" s="6">
        <v>3.0439814814814821E-3</v>
      </c>
      <c r="J4" s="6">
        <v>7.8703703703703705E-4</v>
      </c>
      <c r="K4" s="7">
        <v>0.55320000000000003</v>
      </c>
      <c r="L4" s="7">
        <v>0.44679999999999997</v>
      </c>
      <c r="M4" s="8">
        <v>0.25</v>
      </c>
    </row>
    <row r="5" spans="1:13" ht="16.5" customHeight="1" x14ac:dyDescent="0.3">
      <c r="A5" s="4">
        <f>SUBTOTAL(3,$B$2:B5)-1</f>
        <v>3</v>
      </c>
      <c r="B5" s="4" t="s">
        <v>13</v>
      </c>
      <c r="C5" s="5">
        <v>63</v>
      </c>
      <c r="D5" s="5">
        <v>50</v>
      </c>
      <c r="E5" s="5">
        <v>13</v>
      </c>
      <c r="F5" s="6">
        <v>1.25E-3</v>
      </c>
      <c r="G5" s="6">
        <v>3.1250000000000001E-4</v>
      </c>
      <c r="H5" s="6">
        <v>5.3240740740740744E-4</v>
      </c>
      <c r="I5" s="6">
        <v>1.8750000000000001E-3</v>
      </c>
      <c r="J5" s="6">
        <v>9.3750000000000007E-4</v>
      </c>
      <c r="K5" s="7">
        <v>0.57140000000000002</v>
      </c>
      <c r="L5" s="7">
        <v>0.42859999999999998</v>
      </c>
      <c r="M5" s="8">
        <v>0.12</v>
      </c>
    </row>
    <row r="6" spans="1:13" ht="16.5" customHeight="1" x14ac:dyDescent="0.3">
      <c r="A6" s="4">
        <f>SUBTOTAL(3,$B$2:B6)-1</f>
        <v>4</v>
      </c>
      <c r="B6" s="4" t="s">
        <v>14</v>
      </c>
      <c r="C6" s="5">
        <v>104</v>
      </c>
      <c r="D6" s="5">
        <v>94</v>
      </c>
      <c r="E6" s="5">
        <v>10</v>
      </c>
      <c r="F6" s="6">
        <v>8.9120370370370362E-4</v>
      </c>
      <c r="G6" s="6">
        <v>2.199074074074074E-4</v>
      </c>
      <c r="H6" s="6">
        <v>4.5138888888888892E-4</v>
      </c>
      <c r="I6" s="6">
        <v>4.8726851851851856E-3</v>
      </c>
      <c r="J6" s="6">
        <v>6.5972222222222213E-4</v>
      </c>
      <c r="K6" s="7">
        <v>0.66349999999999998</v>
      </c>
      <c r="L6" s="7">
        <v>0.33650000000000002</v>
      </c>
      <c r="M6" s="8">
        <v>0.14000000000000001</v>
      </c>
    </row>
    <row r="7" spans="1:13" ht="16.5" customHeight="1" x14ac:dyDescent="0.3">
      <c r="A7" s="4">
        <f>SUBTOTAL(3,$B$2:B7)-1</f>
        <v>5</v>
      </c>
      <c r="B7" s="4" t="s">
        <v>15</v>
      </c>
      <c r="C7" s="5">
        <v>99</v>
      </c>
      <c r="D7" s="5">
        <v>88</v>
      </c>
      <c r="E7" s="5">
        <v>11</v>
      </c>
      <c r="F7" s="6">
        <v>8.1018518518518516E-4</v>
      </c>
      <c r="G7" s="6">
        <v>2.0833333333333335E-4</v>
      </c>
      <c r="H7" s="6">
        <v>3.7037037037037035E-4</v>
      </c>
      <c r="I7" s="6">
        <v>1.5624999999999999E-3</v>
      </c>
      <c r="J7" s="6">
        <v>5.9027777777777778E-4</v>
      </c>
      <c r="K7" s="7">
        <v>0.71719999999999995</v>
      </c>
      <c r="L7" s="7">
        <v>0.2828</v>
      </c>
      <c r="M7" s="8">
        <v>0.23</v>
      </c>
    </row>
    <row r="8" spans="1:13" ht="16.5" customHeight="1" x14ac:dyDescent="0.3">
      <c r="A8" s="4">
        <f>SUBTOTAL(3,$B$2:B8)-1</f>
        <v>6</v>
      </c>
      <c r="B8" s="4" t="s">
        <v>20</v>
      </c>
      <c r="C8" s="5">
        <v>27</v>
      </c>
      <c r="D8" s="5">
        <v>25</v>
      </c>
      <c r="E8" s="5">
        <v>2</v>
      </c>
      <c r="F8" s="6">
        <v>8.7962962962962962E-4</v>
      </c>
      <c r="G8" s="6">
        <v>2.7777777777777778E-4</v>
      </c>
      <c r="H8" s="6">
        <v>3.5879629629629635E-4</v>
      </c>
      <c r="I8" s="6">
        <v>1.4004629629629629E-3</v>
      </c>
      <c r="J8" s="6">
        <v>5.9027777777777778E-4</v>
      </c>
      <c r="K8" s="7">
        <v>0.74070000000000003</v>
      </c>
      <c r="L8" s="7">
        <v>0.25929999999999997</v>
      </c>
      <c r="M8" s="8">
        <v>0.06</v>
      </c>
    </row>
    <row r="9" spans="1:13" ht="16.5" customHeight="1" x14ac:dyDescent="0.3">
      <c r="A9" s="4">
        <f>SUBTOTAL(3,$B$2:B9)-1</f>
        <v>7</v>
      </c>
      <c r="B9" s="4" t="s">
        <v>17</v>
      </c>
      <c r="C9" s="5">
        <v>36</v>
      </c>
      <c r="D9" s="5">
        <v>35</v>
      </c>
      <c r="E9" s="5">
        <v>1</v>
      </c>
      <c r="F9" s="6">
        <v>7.291666666666667E-4</v>
      </c>
      <c r="G9" s="6">
        <v>1.273148148148148E-4</v>
      </c>
      <c r="H9" s="6">
        <v>1.7361111111111112E-4</v>
      </c>
      <c r="I9" s="6">
        <v>8.2175925925925917E-4</v>
      </c>
      <c r="J9" s="6">
        <v>5.9027777777777778E-4</v>
      </c>
      <c r="K9" s="7">
        <v>0.80559999999999998</v>
      </c>
      <c r="L9" s="7">
        <v>0.19439999999999999</v>
      </c>
      <c r="M9" s="8">
        <v>0.04</v>
      </c>
    </row>
    <row r="10" spans="1:13" ht="16.5" customHeight="1" x14ac:dyDescent="0.3">
      <c r="A10" s="4">
        <f>SUBTOTAL(3,$B$2:B10)-1</f>
        <v>8</v>
      </c>
      <c r="B10" s="4" t="s">
        <v>18</v>
      </c>
      <c r="C10" s="5">
        <v>43</v>
      </c>
      <c r="D10" s="5">
        <v>43</v>
      </c>
      <c r="E10" s="5">
        <v>0</v>
      </c>
      <c r="F10" s="6">
        <v>7.0601851851851847E-4</v>
      </c>
      <c r="G10" s="6">
        <v>9.2592592592592588E-5</v>
      </c>
      <c r="H10" s="6">
        <v>1.6203703703703703E-4</v>
      </c>
      <c r="I10" s="6">
        <v>2.0138888888888888E-3</v>
      </c>
      <c r="J10" s="6">
        <v>6.018518518518519E-4</v>
      </c>
      <c r="K10" s="7">
        <v>0.90700000000000003</v>
      </c>
      <c r="L10" s="7">
        <v>9.2999999999999999E-2</v>
      </c>
      <c r="M10" s="8">
        <v>0.03</v>
      </c>
    </row>
    <row r="11" spans="1:13" ht="16.5" x14ac:dyDescent="0.3">
      <c r="A11" s="4">
        <f>SUBTOTAL(3,$B$2:B11)-1</f>
        <v>9</v>
      </c>
      <c r="B11" s="4" t="s">
        <v>21</v>
      </c>
      <c r="C11" s="15">
        <v>18</v>
      </c>
      <c r="D11" s="16"/>
      <c r="E11" s="17"/>
      <c r="F11" s="9"/>
      <c r="G11" s="9"/>
      <c r="H11" s="9"/>
      <c r="I11" s="9"/>
      <c r="J11" s="9"/>
      <c r="K11" s="10"/>
      <c r="L11" s="10"/>
      <c r="M11" s="4"/>
    </row>
    <row r="12" spans="1:13" ht="16.5" x14ac:dyDescent="0.3">
      <c r="A12" s="4">
        <f>SUBTOTAL(3,$B$2:B12)-1</f>
        <v>10</v>
      </c>
      <c r="B12" s="4" t="s">
        <v>22</v>
      </c>
      <c r="C12" s="15">
        <v>44</v>
      </c>
      <c r="D12" s="16"/>
      <c r="E12" s="17"/>
      <c r="F12" s="9"/>
      <c r="G12" s="9"/>
      <c r="H12" s="9"/>
      <c r="I12" s="9"/>
      <c r="J12" s="9"/>
      <c r="K12" s="10"/>
      <c r="L12" s="10"/>
      <c r="M12" s="4"/>
    </row>
    <row r="13" spans="1:13" ht="21" customHeight="1" x14ac:dyDescent="0.3">
      <c r="A13" s="11"/>
      <c r="B13" s="11" t="s">
        <v>23</v>
      </c>
      <c r="C13" s="12">
        <f>SUM(C3:C10)</f>
        <v>544</v>
      </c>
      <c r="D13" s="12">
        <f>SUM(D3:D10)</f>
        <v>484</v>
      </c>
      <c r="E13" s="12">
        <f>SUM(E3:E10)</f>
        <v>60</v>
      </c>
      <c r="F13" s="11"/>
      <c r="G13" s="11"/>
      <c r="H13" s="11"/>
      <c r="I13" s="11"/>
      <c r="J13" s="11"/>
      <c r="K13" s="11"/>
      <c r="L13" s="11"/>
      <c r="M13" s="11"/>
    </row>
  </sheetData>
  <sortState ref="B3:M10">
    <sortCondition descending="1" ref="L3:L10"/>
  </sortState>
  <mergeCells count="3">
    <mergeCell ref="A1:M1"/>
    <mergeCell ref="C11:E11"/>
    <mergeCell ref="C12:E12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01.06</vt:lpstr>
      <vt:lpstr>02.06</vt:lpstr>
      <vt:lpstr>03.06</vt:lpstr>
      <vt:lpstr>04.06</vt:lpstr>
      <vt:lpstr>05.06</vt:lpstr>
      <vt:lpstr>06.06</vt:lpstr>
      <vt:lpstr>07.06</vt:lpstr>
      <vt:lpstr>08.06</vt:lpstr>
      <vt:lpstr>09.06</vt:lpstr>
      <vt:lpstr>10.06</vt:lpstr>
      <vt:lpstr>11.06</vt:lpstr>
      <vt:lpstr>12.06</vt:lpstr>
      <vt:lpstr>13.06</vt:lpstr>
      <vt:lpstr>14.06</vt:lpstr>
      <vt:lpstr>15.06</vt:lpstr>
      <vt:lpstr>16.06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27.06</vt:lpstr>
      <vt:lpstr>28.06</vt:lpstr>
      <vt:lpstr>29.06</vt:lpstr>
      <vt:lpstr>30.06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2025-06-02T06:20:37Z</dcterms:created>
  <dcterms:modified xsi:type="dcterms:W3CDTF">2025-07-01T09:51:12Z</dcterms:modified>
</cp:coreProperties>
</file>