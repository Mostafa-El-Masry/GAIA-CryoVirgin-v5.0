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ounts Shared Folder\Call Center\11.Nov-25\"/>
    </mc:Choice>
  </mc:AlternateContent>
  <xr:revisionPtr revIDLastSave="0" documentId="13_ncr:1_{7DE3EE92-7F2F-44E7-866F-36DC2A52EA53}" xr6:coauthVersionLast="36" xr6:coauthVersionMax="47" xr10:uidLastSave="{00000000-0000-0000-0000-000000000000}"/>
  <bookViews>
    <workbookView xWindow="-120" yWindow="-120" windowWidth="20736" windowHeight="11160" firstSheet="9" activeTab="21" xr2:uid="{824B710A-AB11-4491-9A21-9BE7B29E2E59}"/>
  </bookViews>
  <sheets>
    <sheet name="01.11" sheetId="1" r:id="rId1"/>
    <sheet name="02.11" sheetId="2" r:id="rId2"/>
    <sheet name="03.11" sheetId="3" r:id="rId3"/>
    <sheet name="04.11" sheetId="4" r:id="rId4"/>
    <sheet name="05.11" sheetId="5" r:id="rId5"/>
    <sheet name="06.11" sheetId="7" r:id="rId6"/>
    <sheet name="07.11" sheetId="6" r:id="rId7"/>
    <sheet name="08.11" sheetId="8" r:id="rId8"/>
    <sheet name="09.11" sheetId="9" r:id="rId9"/>
    <sheet name="10.11" sheetId="10" r:id="rId10"/>
    <sheet name="11.11" sheetId="11" r:id="rId11"/>
    <sheet name="12.11" sheetId="12" r:id="rId12"/>
    <sheet name="13.11" sheetId="13" r:id="rId13"/>
    <sheet name="14.11" sheetId="14" r:id="rId14"/>
    <sheet name="15.11" sheetId="15" r:id="rId15"/>
    <sheet name="16.11" sheetId="16" r:id="rId16"/>
    <sheet name="17.11" sheetId="17" r:id="rId17"/>
    <sheet name="18.11" sheetId="18" r:id="rId18"/>
    <sheet name="19.11" sheetId="19" r:id="rId19"/>
    <sheet name="20.11" sheetId="20" r:id="rId20"/>
    <sheet name="21.11" sheetId="21" r:id="rId21"/>
    <sheet name="22.11" sheetId="22" r:id="rId22"/>
  </sheets>
  <definedNames>
    <definedName name="_xlnm._FilterDatabase" localSheetId="0" hidden="1">'01.11'!$B$3:$L$10</definedName>
    <definedName name="_xlnm._FilterDatabase" localSheetId="1" hidden="1">'02.11'!$B$3:$L$10</definedName>
    <definedName name="_xlnm._FilterDatabase" localSheetId="2" hidden="1">'03.11'!$B$3:$L$10</definedName>
    <definedName name="_xlnm._FilterDatabase" localSheetId="3" hidden="1">'04.11'!$B$2:$M$10</definedName>
    <definedName name="_xlnm._FilterDatabase" localSheetId="4" hidden="1">'05.11'!$B$2:$M$10</definedName>
    <definedName name="_xlnm._FilterDatabase" localSheetId="5" hidden="1">'06.11'!$B$2:$M$10</definedName>
    <definedName name="_xlnm._FilterDatabase" localSheetId="6" hidden="1">'07.11'!$B$2:$M$10</definedName>
    <definedName name="_xlnm._FilterDatabase" localSheetId="7" hidden="1">'08.11'!$B$2:$M$10</definedName>
    <definedName name="_xlnm._FilterDatabase" localSheetId="8" hidden="1">'09.11'!$B$2:$M$10</definedName>
    <definedName name="_xlnm._FilterDatabase" localSheetId="9" hidden="1">'10.11'!$B$2:$M$10</definedName>
    <definedName name="_xlnm._FilterDatabase" localSheetId="10" hidden="1">'11.11'!$B$2:$M$10</definedName>
    <definedName name="_xlnm._FilterDatabase" localSheetId="11" hidden="1">'12.11'!$B$2:$M$10</definedName>
    <definedName name="_xlnm._FilterDatabase" localSheetId="12" hidden="1">'13.11'!$B$2:$M$10</definedName>
    <definedName name="_xlnm._FilterDatabase" localSheetId="13" hidden="1">'14.11'!$B$2:$M$10</definedName>
    <definedName name="_xlnm._FilterDatabase" localSheetId="14" hidden="1">'15.11'!$B$2:$M$10</definedName>
    <definedName name="_xlnm._FilterDatabase" localSheetId="15" hidden="1">'16.11'!$B$2:$M$10</definedName>
    <definedName name="_xlnm._FilterDatabase" localSheetId="16" hidden="1">'17.11'!$B$2:$M$10</definedName>
    <definedName name="_xlnm._FilterDatabase" localSheetId="17" hidden="1">'18.11'!$B$2:$M$10</definedName>
    <definedName name="_xlnm._FilterDatabase" localSheetId="18" hidden="1">'19.11'!$B$2:$M$10</definedName>
    <definedName name="_xlnm._FilterDatabase" localSheetId="19" hidden="1">'20.11'!$B$2:$M$10</definedName>
    <definedName name="_xlnm._FilterDatabase" localSheetId="20" hidden="1">'21.11'!$B$2:$M$10</definedName>
    <definedName name="_xlnm._FilterDatabase" localSheetId="21" hidden="1">'22.11'!$B$2:$M$10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2" l="1"/>
  <c r="D5" i="22"/>
  <c r="D6" i="22"/>
  <c r="D7" i="22"/>
  <c r="D8" i="22"/>
  <c r="D9" i="22"/>
  <c r="D10" i="22"/>
  <c r="D3" i="22"/>
  <c r="E13" i="22"/>
  <c r="C13" i="22"/>
  <c r="A12" i="22"/>
  <c r="A11" i="22"/>
  <c r="A10" i="22"/>
  <c r="A9" i="22"/>
  <c r="A8" i="22"/>
  <c r="A7" i="22"/>
  <c r="A6" i="22"/>
  <c r="A5" i="22"/>
  <c r="A4" i="22"/>
  <c r="A3" i="22"/>
  <c r="D13" i="22" l="1"/>
  <c r="E13" i="21"/>
  <c r="D13" i="21"/>
  <c r="C13" i="21"/>
  <c r="A12" i="21"/>
  <c r="A11" i="21"/>
  <c r="A10" i="21"/>
  <c r="A9" i="21"/>
  <c r="A8" i="21"/>
  <c r="A7" i="21"/>
  <c r="A6" i="21"/>
  <c r="A5" i="21"/>
  <c r="A4" i="21"/>
  <c r="A3" i="21"/>
  <c r="E13" i="20"/>
  <c r="D13" i="20"/>
  <c r="C13" i="20"/>
  <c r="A12" i="20"/>
  <c r="A11" i="20"/>
  <c r="A10" i="20"/>
  <c r="A9" i="20"/>
  <c r="A8" i="20"/>
  <c r="A7" i="20"/>
  <c r="A6" i="20"/>
  <c r="A5" i="20"/>
  <c r="A4" i="20"/>
  <c r="A3" i="20"/>
  <c r="E13" i="19"/>
  <c r="D13" i="19"/>
  <c r="C13" i="19"/>
  <c r="A12" i="19"/>
  <c r="A11" i="19"/>
  <c r="A10" i="19"/>
  <c r="A9" i="19"/>
  <c r="A8" i="19"/>
  <c r="A7" i="19"/>
  <c r="A6" i="19"/>
  <c r="A5" i="19"/>
  <c r="A4" i="19"/>
  <c r="A3" i="19"/>
  <c r="E13" i="18" l="1"/>
  <c r="C13" i="18"/>
  <c r="A12" i="18"/>
  <c r="A11" i="18"/>
  <c r="A10" i="18"/>
  <c r="A9" i="18"/>
  <c r="A8" i="18"/>
  <c r="A7" i="18"/>
  <c r="A6" i="18"/>
  <c r="A5" i="18"/>
  <c r="A4" i="18"/>
  <c r="A3" i="18"/>
  <c r="D13" i="18" l="1"/>
  <c r="D4" i="17"/>
  <c r="D5" i="17"/>
  <c r="D6" i="17"/>
  <c r="D7" i="17"/>
  <c r="D8" i="17"/>
  <c r="D9" i="17"/>
  <c r="D10" i="17"/>
  <c r="D3" i="17"/>
  <c r="E13" i="17"/>
  <c r="C13" i="17"/>
  <c r="A12" i="17"/>
  <c r="A11" i="17"/>
  <c r="A10" i="17"/>
  <c r="A9" i="17"/>
  <c r="A8" i="17"/>
  <c r="A7" i="17"/>
  <c r="A6" i="17"/>
  <c r="A5" i="17"/>
  <c r="A4" i="17"/>
  <c r="A3" i="17"/>
  <c r="D13" i="17" l="1"/>
  <c r="D4" i="16"/>
  <c r="D5" i="16"/>
  <c r="D6" i="16"/>
  <c r="D7" i="16"/>
  <c r="D8" i="16"/>
  <c r="D9" i="16"/>
  <c r="D10" i="16"/>
  <c r="D3" i="16"/>
  <c r="E13" i="16"/>
  <c r="C13" i="16"/>
  <c r="A12" i="16"/>
  <c r="A11" i="16"/>
  <c r="A10" i="16"/>
  <c r="A9" i="16"/>
  <c r="A8" i="16"/>
  <c r="A7" i="16"/>
  <c r="A6" i="16"/>
  <c r="A5" i="16"/>
  <c r="A4" i="16"/>
  <c r="A3" i="16"/>
  <c r="D13" i="16" l="1"/>
  <c r="D4" i="15"/>
  <c r="D8" i="15"/>
  <c r="D3" i="15"/>
  <c r="D9" i="15"/>
  <c r="D7" i="15"/>
  <c r="D5" i="15"/>
  <c r="D10" i="15"/>
  <c r="D6" i="15"/>
  <c r="E13" i="15"/>
  <c r="C13" i="15"/>
  <c r="A12" i="15"/>
  <c r="A11" i="15"/>
  <c r="A10" i="15"/>
  <c r="A9" i="15"/>
  <c r="A8" i="15"/>
  <c r="A7" i="15"/>
  <c r="A6" i="15"/>
  <c r="A5" i="15"/>
  <c r="A4" i="15"/>
  <c r="A3" i="15"/>
  <c r="D13" i="15" l="1"/>
  <c r="D10" i="13"/>
  <c r="D9" i="13"/>
  <c r="D8" i="13"/>
  <c r="D7" i="13"/>
  <c r="D6" i="13"/>
  <c r="D5" i="13"/>
  <c r="D4" i="13"/>
  <c r="D3" i="13"/>
  <c r="D3" i="14"/>
  <c r="D4" i="14"/>
  <c r="D5" i="14"/>
  <c r="D6" i="14"/>
  <c r="D7" i="14"/>
  <c r="D8" i="14"/>
  <c r="D9" i="14"/>
  <c r="D10" i="14"/>
  <c r="E13" i="14"/>
  <c r="C13" i="14"/>
  <c r="A12" i="14"/>
  <c r="A11" i="14"/>
  <c r="A10" i="14"/>
  <c r="A9" i="14"/>
  <c r="A8" i="14"/>
  <c r="A7" i="14"/>
  <c r="A6" i="14"/>
  <c r="A5" i="14"/>
  <c r="A4" i="14"/>
  <c r="A3" i="14"/>
  <c r="E13" i="13"/>
  <c r="C13" i="13"/>
  <c r="A12" i="13"/>
  <c r="A11" i="13"/>
  <c r="A10" i="13"/>
  <c r="A9" i="13"/>
  <c r="A8" i="13"/>
  <c r="A7" i="13"/>
  <c r="A6" i="13"/>
  <c r="A5" i="13"/>
  <c r="A4" i="13"/>
  <c r="A3" i="13"/>
  <c r="D13" i="14" l="1"/>
  <c r="D13" i="13"/>
  <c r="D4" i="12"/>
  <c r="D5" i="12"/>
  <c r="D6" i="12"/>
  <c r="D7" i="12"/>
  <c r="D8" i="12"/>
  <c r="D9" i="12"/>
  <c r="D10" i="12"/>
  <c r="D3" i="12"/>
  <c r="E13" i="12" l="1"/>
  <c r="C13" i="12"/>
  <c r="A12" i="12"/>
  <c r="A11" i="12"/>
  <c r="A10" i="12"/>
  <c r="A9" i="12"/>
  <c r="A8" i="12"/>
  <c r="A7" i="12"/>
  <c r="A6" i="12"/>
  <c r="A5" i="12"/>
  <c r="A4" i="12"/>
  <c r="D13" i="12"/>
  <c r="A3" i="12"/>
  <c r="D4" i="11" l="1"/>
  <c r="D5" i="11"/>
  <c r="D6" i="11"/>
  <c r="D7" i="11"/>
  <c r="D8" i="11"/>
  <c r="D9" i="11"/>
  <c r="D10" i="11"/>
  <c r="D3" i="11"/>
  <c r="E13" i="11"/>
  <c r="C13" i="11"/>
  <c r="A12" i="11"/>
  <c r="A11" i="11"/>
  <c r="A10" i="11"/>
  <c r="A9" i="11"/>
  <c r="A8" i="11"/>
  <c r="A7" i="11"/>
  <c r="A6" i="11"/>
  <c r="A5" i="11"/>
  <c r="A4" i="11"/>
  <c r="A3" i="11"/>
  <c r="D13" i="11" l="1"/>
  <c r="D4" i="10"/>
  <c r="D5" i="10"/>
  <c r="D6" i="10"/>
  <c r="D7" i="10"/>
  <c r="D8" i="10"/>
  <c r="D9" i="10"/>
  <c r="D10" i="10"/>
  <c r="D3" i="10"/>
  <c r="E13" i="10"/>
  <c r="C13" i="10"/>
  <c r="A12" i="10"/>
  <c r="A11" i="10"/>
  <c r="A10" i="10"/>
  <c r="A9" i="10"/>
  <c r="A8" i="10"/>
  <c r="A7" i="10"/>
  <c r="A6" i="10"/>
  <c r="A5" i="10"/>
  <c r="A4" i="10"/>
  <c r="A3" i="10"/>
  <c r="D13" i="10" l="1"/>
  <c r="D4" i="9"/>
  <c r="D5" i="9"/>
  <c r="D6" i="9"/>
  <c r="D7" i="9"/>
  <c r="D8" i="9"/>
  <c r="D9" i="9"/>
  <c r="D10" i="9"/>
  <c r="D3" i="9"/>
  <c r="E13" i="9"/>
  <c r="C13" i="9"/>
  <c r="A12" i="9"/>
  <c r="A11" i="9"/>
  <c r="A10" i="9"/>
  <c r="A9" i="9"/>
  <c r="A8" i="9"/>
  <c r="A7" i="9"/>
  <c r="A6" i="9"/>
  <c r="A5" i="9"/>
  <c r="A4" i="9"/>
  <c r="A3" i="9"/>
  <c r="D3" i="8"/>
  <c r="D4" i="8"/>
  <c r="D5" i="8"/>
  <c r="D6" i="8"/>
  <c r="D7" i="8"/>
  <c r="D8" i="8"/>
  <c r="D9" i="8"/>
  <c r="D10" i="8"/>
  <c r="D13" i="9" l="1"/>
  <c r="E13" i="8"/>
  <c r="C13" i="8"/>
  <c r="A12" i="8"/>
  <c r="A11" i="8"/>
  <c r="A10" i="8"/>
  <c r="A9" i="8"/>
  <c r="A8" i="8"/>
  <c r="A7" i="8"/>
  <c r="A6" i="8"/>
  <c r="A5" i="8"/>
  <c r="A4" i="8"/>
  <c r="A3" i="8"/>
  <c r="D13" i="8" l="1"/>
  <c r="E13" i="7"/>
  <c r="C13" i="7"/>
  <c r="A12" i="7"/>
  <c r="A11" i="7"/>
  <c r="A10" i="7"/>
  <c r="A9" i="7"/>
  <c r="A8" i="7"/>
  <c r="A7" i="7"/>
  <c r="A6" i="7"/>
  <c r="A5" i="7"/>
  <c r="A4" i="7"/>
  <c r="D13" i="7"/>
  <c r="A3" i="7"/>
  <c r="D3" i="6"/>
  <c r="D10" i="6"/>
  <c r="D8" i="6"/>
  <c r="D4" i="6"/>
  <c r="D5" i="6"/>
  <c r="D9" i="6"/>
  <c r="D7" i="6"/>
  <c r="D6" i="6"/>
  <c r="E13" i="6"/>
  <c r="C13" i="6"/>
  <c r="A12" i="6"/>
  <c r="A11" i="6"/>
  <c r="A10" i="6"/>
  <c r="A9" i="6"/>
  <c r="A8" i="6"/>
  <c r="A7" i="6"/>
  <c r="A6" i="6"/>
  <c r="A5" i="6"/>
  <c r="A4" i="6"/>
  <c r="A3" i="6"/>
  <c r="D13" i="6" l="1"/>
  <c r="D4" i="5"/>
  <c r="D5" i="5"/>
  <c r="D6" i="5"/>
  <c r="D7" i="5"/>
  <c r="D8" i="5"/>
  <c r="D9" i="5"/>
  <c r="D10" i="5"/>
  <c r="D3" i="5"/>
  <c r="E13" i="5"/>
  <c r="C13" i="5"/>
  <c r="A12" i="5"/>
  <c r="A11" i="5"/>
  <c r="A10" i="5"/>
  <c r="A9" i="5"/>
  <c r="A8" i="5"/>
  <c r="A7" i="5"/>
  <c r="A6" i="5"/>
  <c r="A5" i="5"/>
  <c r="A4" i="5"/>
  <c r="A3" i="5"/>
  <c r="D13" i="5" l="1"/>
  <c r="D4" i="4"/>
  <c r="D5" i="4"/>
  <c r="D6" i="4"/>
  <c r="D7" i="4"/>
  <c r="D8" i="4"/>
  <c r="D9" i="4"/>
  <c r="D10" i="4"/>
  <c r="D3" i="4"/>
  <c r="E13" i="4" l="1"/>
  <c r="C13" i="4"/>
  <c r="A12" i="4"/>
  <c r="A11" i="4"/>
  <c r="A10" i="4"/>
  <c r="A9" i="4"/>
  <c r="A8" i="4"/>
  <c r="A7" i="4"/>
  <c r="A6" i="4"/>
  <c r="A5" i="4"/>
  <c r="A4" i="4"/>
  <c r="D13" i="4"/>
  <c r="A3" i="4"/>
  <c r="D5" i="3" l="1"/>
  <c r="D3" i="3"/>
  <c r="D9" i="3"/>
  <c r="D8" i="3"/>
  <c r="D6" i="3"/>
  <c r="D4" i="3"/>
  <c r="D10" i="3"/>
  <c r="D7" i="3"/>
  <c r="E13" i="3"/>
  <c r="C13" i="3"/>
  <c r="A12" i="3"/>
  <c r="A11" i="3"/>
  <c r="A10" i="3"/>
  <c r="A9" i="3"/>
  <c r="A8" i="3"/>
  <c r="A7" i="3"/>
  <c r="A6" i="3"/>
  <c r="A5" i="3"/>
  <c r="A4" i="3"/>
  <c r="A3" i="3"/>
  <c r="D13" i="3" l="1"/>
  <c r="D4" i="2"/>
  <c r="D5" i="2"/>
  <c r="D6" i="2"/>
  <c r="D7" i="2"/>
  <c r="D8" i="2"/>
  <c r="D9" i="2"/>
  <c r="D10" i="2"/>
  <c r="D3" i="2"/>
  <c r="E13" i="2"/>
  <c r="C13" i="2"/>
  <c r="A12" i="2"/>
  <c r="A11" i="2"/>
  <c r="A10" i="2"/>
  <c r="A9" i="2"/>
  <c r="A8" i="2"/>
  <c r="A7" i="2"/>
  <c r="A6" i="2"/>
  <c r="A5" i="2"/>
  <c r="A4" i="2"/>
  <c r="A3" i="2"/>
  <c r="D13" i="2" l="1"/>
  <c r="D4" i="1"/>
  <c r="D5" i="1"/>
  <c r="D6" i="1"/>
  <c r="D7" i="1"/>
  <c r="D8" i="1"/>
  <c r="D9" i="1"/>
  <c r="D10" i="1"/>
  <c r="D3" i="1"/>
  <c r="E13" i="1" l="1"/>
  <c r="D13" i="1"/>
  <c r="C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<sst xmlns="http://schemas.openxmlformats.org/spreadsheetml/2006/main" count="550" uniqueCount="49">
  <si>
    <t>Sl No</t>
  </si>
  <si>
    <t>Branch</t>
  </si>
  <si>
    <t>Total Calls</t>
  </si>
  <si>
    <t>Answered</t>
  </si>
  <si>
    <t>Missed &amp; Abandoned</t>
  </si>
  <si>
    <t>AVG Handle Time</t>
  </si>
  <si>
    <t>AVG Waiting Time (Answered Calls)</t>
  </si>
  <si>
    <t>AVG Waiting Time (All Calls)</t>
  </si>
  <si>
    <t>Max Waiting Time (All Calls)</t>
  </si>
  <si>
    <t>Average Talking Time</t>
  </si>
  <si>
    <t>Answered Rate</t>
  </si>
  <si>
    <t>Abandon Rate</t>
  </si>
  <si>
    <t>Sales Rate</t>
  </si>
  <si>
    <t>Saad Abdulla</t>
  </si>
  <si>
    <t>Dasman</t>
  </si>
  <si>
    <t>89 MALL Hair spa</t>
  </si>
  <si>
    <t>Surra Block 3</t>
  </si>
  <si>
    <t>Kefan</t>
  </si>
  <si>
    <t>Qurtuba 1</t>
  </si>
  <si>
    <t>89 MALL</t>
  </si>
  <si>
    <t>Sabah Al Salam</t>
  </si>
  <si>
    <t>Total</t>
  </si>
  <si>
    <t>Call Center &lt;888-Steffi&gt;</t>
  </si>
  <si>
    <t>Call Center-Report-01/11/2025</t>
  </si>
  <si>
    <t>Call Center &lt;887-Sarah&gt;</t>
  </si>
  <si>
    <t>Call Center-Report-02/11/2025</t>
  </si>
  <si>
    <t>Call Center-Report-03/11/2025</t>
  </si>
  <si>
    <t>Call Center-Report-04/11/2025</t>
  </si>
  <si>
    <t>Call Center-Report-05/11/2025</t>
  </si>
  <si>
    <t>Call Center-Report-06/11/2025</t>
  </si>
  <si>
    <t>Call Center-Report-07/11/2025</t>
  </si>
  <si>
    <t>Call Center &lt;888-Sansa&gt;</t>
  </si>
  <si>
    <t>Call Center-Report-08/11/2025</t>
  </si>
  <si>
    <t>Call Center-Report-09/11/2025</t>
  </si>
  <si>
    <t>Call Center &lt;887-Steffi&gt;</t>
  </si>
  <si>
    <t>Call Center-Report-10/11/2025</t>
  </si>
  <si>
    <t>Call Center-Report-11/11/2025</t>
  </si>
  <si>
    <t>Call Center-Report-12/11/2025</t>
  </si>
  <si>
    <t>Call Center-Report-13/11/2025</t>
  </si>
  <si>
    <t>Call Center &lt;887-Sara&gt;</t>
  </si>
  <si>
    <t>Call Center-Report-14/11/2025</t>
  </si>
  <si>
    <t>Call Center-Report-15/11/2025</t>
  </si>
  <si>
    <t>Call Center-Report-16/11/2025</t>
  </si>
  <si>
    <t>Call Center-Report-17/11/2025</t>
  </si>
  <si>
    <t>Call Center-Report-18/11/2025</t>
  </si>
  <si>
    <t>Call Center-Report-19/11/2025</t>
  </si>
  <si>
    <t>Call Center-Report-20/11/2025</t>
  </si>
  <si>
    <t>Call Center-Report-21/11/2025</t>
  </si>
  <si>
    <t>Call Center-Report-22/11/2025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</si>
</sst>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FF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21" fontId="3" fillId="0" borderId="3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9" fontId="3" fillId="0" borderId="3" xfId="1" applyFont="1" applyBorder="1" applyAlignment="1">
      <alignment horizontal="center"/>
    </xf>
    <xf numFmtId="0" fontId="4" fillId="0" borderId="3" xfId="0" applyFont="1" applyBorder="1"/>
    <xf numFmtId="21" fontId="3" fillId="0" borderId="3" xfId="0" applyNumberFormat="1" applyFont="1" applyBorder="1"/>
    <xf numFmtId="10" fontId="3" fillId="0" borderId="3" xfId="0" applyNumberFormat="1" applyFont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'01.11'!$L$2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'01.11'!$B$3:$B$10</c:f>
              <c:strCache>
                <c:ptCount val="8"/>
                <c:pt idx="0">
                  <c:v>Sabah Al Salam</c:v>
                </c:pt>
                <c:pt idx="1">
                  <c:v>Qurtuba 1</c:v>
                </c:pt>
                <c:pt idx="2">
                  <c:v>Saad Abdulla</c:v>
                </c:pt>
                <c:pt idx="3">
                  <c:v>Dasman</c:v>
                </c:pt>
                <c:pt idx="4">
                  <c:v>Kefan</c:v>
                </c:pt>
                <c:pt idx="5">
                  <c:v>Surra Block 3</c:v>
                </c:pt>
                <c:pt idx="6">
                  <c:v>89 MALL</c:v>
                </c:pt>
                <c:pt idx="7">
                  <c:v>89 MALL Hair spa</c:v>
                </c:pt>
              </c:strCache>
            </c:strRef>
          </c:cat>
          <c:val>
            <c:numRef>
              <c:f>'01.11'!$L$3:$L$10</c:f>
              <c:numCache>
                <c:formatCode>0.00%</c:formatCode>
                <c:ptCount val="8"/>
                <c:pt idx="0">
                  <c:v>0.2989</c:v>
                </c:pt>
                <c:pt idx="1">
                  <c:v>0.25769999999999998</c:v>
                </c:pt>
                <c:pt idx="2">
                  <c:v>0.24</c:v>
                </c:pt>
                <c:pt idx="3">
                  <c:v>0.15379999999999999</c:v>
                </c:pt>
                <c:pt idx="4">
                  <c:v>0.1</c:v>
                </c:pt>
                <c:pt idx="5">
                  <c:v>6.7799999999999999E-2</c:v>
                </c:pt>
                <c:pt idx="6">
                  <c:v>2.86E-2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5-4559-8C9E-89BE282AEE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'02.11'!$B$3:$B$10</c:f>
              <c:strCache>
                <c:ptCount val="8"/>
                <c:pt idx="0">
                  <c:v>Sabah Al Salam</c:v>
                </c:pt>
                <c:pt idx="1">
                  <c:v>Saad Abdulla</c:v>
                </c:pt>
                <c:pt idx="2">
                  <c:v>Kefan</c:v>
                </c:pt>
                <c:pt idx="3">
                  <c:v>Surra Block 3</c:v>
                </c:pt>
                <c:pt idx="4">
                  <c:v>Dasman</c:v>
                </c:pt>
                <c:pt idx="5">
                  <c:v>89 MALL</c:v>
                </c:pt>
                <c:pt idx="6">
                  <c:v>Qurtuba 1</c:v>
                </c:pt>
                <c:pt idx="7">
                  <c:v>89 MALL Hair spa</c:v>
                </c:pt>
              </c:strCache>
            </c:strRef>
          </c:cat>
          <c:val>
            <c:numRef>
              <c:f>'02.11'!$L$3:$L$10</c:f>
              <c:numCache>
                <c:formatCode>0.00%</c:formatCode>
                <c:ptCount val="8"/>
                <c:pt idx="0">
                  <c:v>0.55559999999999998</c:v>
                </c:pt>
                <c:pt idx="1">
                  <c:v>0.3846</c:v>
                </c:pt>
                <c:pt idx="2">
                  <c:v>0.29630000000000001</c:v>
                </c:pt>
                <c:pt idx="3">
                  <c:v>0.25929999999999997</c:v>
                </c:pt>
                <c:pt idx="4">
                  <c:v>0.17649999999999999</c:v>
                </c:pt>
                <c:pt idx="5">
                  <c:v>9.3799999999999994E-2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7-455B-8AF1-EE8C99F621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'03.11'!$L$2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'03.11'!$B$3:$B$10</c:f>
              <c:strCache>
                <c:ptCount val="8"/>
                <c:pt idx="0">
                  <c:v>Kefan</c:v>
                </c:pt>
                <c:pt idx="1">
                  <c:v>Dasman</c:v>
                </c:pt>
                <c:pt idx="2">
                  <c:v>Sabah Al Salam</c:v>
                </c:pt>
                <c:pt idx="3">
                  <c:v>89 MALL</c:v>
                </c:pt>
                <c:pt idx="4">
                  <c:v>Saad Abdulla</c:v>
                </c:pt>
                <c:pt idx="5">
                  <c:v>Surra Block 3</c:v>
                </c:pt>
                <c:pt idx="6">
                  <c:v>Qurtuba 1</c:v>
                </c:pt>
                <c:pt idx="7">
                  <c:v>89 MALL Hair spa</c:v>
                </c:pt>
              </c:strCache>
            </c:strRef>
          </c:cat>
          <c:val>
            <c:numRef>
              <c:f>'03.11'!$L$3:$L$10</c:f>
              <c:numCache>
                <c:formatCode>0.00%</c:formatCode>
                <c:ptCount val="8"/>
                <c:pt idx="0">
                  <c:v>0.3947</c:v>
                </c:pt>
                <c:pt idx="1">
                  <c:v>0.27779999999999999</c:v>
                </c:pt>
                <c:pt idx="2">
                  <c:v>0.25</c:v>
                </c:pt>
                <c:pt idx="3">
                  <c:v>0.22220000000000001</c:v>
                </c:pt>
                <c:pt idx="4">
                  <c:v>0.1429</c:v>
                </c:pt>
                <c:pt idx="5">
                  <c:v>0.1429</c:v>
                </c:pt>
                <c:pt idx="6">
                  <c:v>0.1321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E-4146-9E87-A3F9299E03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'04.11'!$L$2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'04.11'!$B$3:$B$10</c:f>
              <c:strCache>
                <c:ptCount val="8"/>
                <c:pt idx="0">
                  <c:v>Sabah Al Salam</c:v>
                </c:pt>
                <c:pt idx="1">
                  <c:v>89 MALL Hair spa</c:v>
                </c:pt>
                <c:pt idx="2">
                  <c:v>Dasman</c:v>
                </c:pt>
                <c:pt idx="3">
                  <c:v>Kefan</c:v>
                </c:pt>
                <c:pt idx="4">
                  <c:v>89 MALL</c:v>
                </c:pt>
                <c:pt idx="5">
                  <c:v>Saad Abdulla</c:v>
                </c:pt>
                <c:pt idx="6">
                  <c:v>Qurtuba 1</c:v>
                </c:pt>
                <c:pt idx="7">
                  <c:v>Surra Block 3</c:v>
                </c:pt>
              </c:strCache>
            </c:strRef>
          </c:cat>
          <c:val>
            <c:numRef>
              <c:f>'04.11'!$L$3:$L$10</c:f>
              <c:numCache>
                <c:formatCode>0.00%</c:formatCode>
                <c:ptCount val="8"/>
                <c:pt idx="0">
                  <c:v>0.22919999999999999</c:v>
                </c:pt>
                <c:pt idx="1">
                  <c:v>0.2</c:v>
                </c:pt>
                <c:pt idx="2">
                  <c:v>0.1724</c:v>
                </c:pt>
                <c:pt idx="3">
                  <c:v>0.16919999999999999</c:v>
                </c:pt>
                <c:pt idx="4">
                  <c:v>0.15</c:v>
                </c:pt>
                <c:pt idx="5">
                  <c:v>6.0600000000000001E-2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E-4AC7-A237-9C395129A4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'05.11'!$L$2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'05.11'!$B$3:$B$10</c:f>
              <c:strCache>
                <c:ptCount val="8"/>
                <c:pt idx="0">
                  <c:v>Sabah Al Salam</c:v>
                </c:pt>
                <c:pt idx="1">
                  <c:v>Saad Abdulla</c:v>
                </c:pt>
                <c:pt idx="2">
                  <c:v>89 MALL</c:v>
                </c:pt>
                <c:pt idx="3">
                  <c:v>Dasman</c:v>
                </c:pt>
                <c:pt idx="4">
                  <c:v>89 MALL Hair spa</c:v>
                </c:pt>
                <c:pt idx="5">
                  <c:v>Kefan</c:v>
                </c:pt>
                <c:pt idx="6">
                  <c:v>Qurtuba 1</c:v>
                </c:pt>
                <c:pt idx="7">
                  <c:v>Surra Block 3</c:v>
                </c:pt>
              </c:strCache>
            </c:strRef>
          </c:cat>
          <c:val>
            <c:numRef>
              <c:f>'05.11'!$L$3:$L$10</c:f>
              <c:numCache>
                <c:formatCode>0.00%</c:formatCode>
                <c:ptCount val="8"/>
                <c:pt idx="0">
                  <c:v>0.31580000000000003</c:v>
                </c:pt>
                <c:pt idx="1">
                  <c:v>0.2833</c:v>
                </c:pt>
                <c:pt idx="2">
                  <c:v>0.2</c:v>
                </c:pt>
                <c:pt idx="3">
                  <c:v>0.1429</c:v>
                </c:pt>
                <c:pt idx="4">
                  <c:v>0.1429</c:v>
                </c:pt>
                <c:pt idx="5">
                  <c:v>0.1111</c:v>
                </c:pt>
                <c:pt idx="6">
                  <c:v>5.6599999999999998E-2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8-4CC6-ABCF-14898636ED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'06.11'!$L$2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'06.11'!$B$3:$B$10</c:f>
              <c:strCache>
                <c:ptCount val="8"/>
                <c:pt idx="0">
                  <c:v>Sabah Al Salam</c:v>
                </c:pt>
                <c:pt idx="1">
                  <c:v>Dasman</c:v>
                </c:pt>
                <c:pt idx="2">
                  <c:v>Saad Abdulla</c:v>
                </c:pt>
                <c:pt idx="3">
                  <c:v>89 MALL</c:v>
                </c:pt>
                <c:pt idx="4">
                  <c:v>Surra Block 3</c:v>
                </c:pt>
                <c:pt idx="5">
                  <c:v>Kefan</c:v>
                </c:pt>
                <c:pt idx="6">
                  <c:v>Qurtuba 1</c:v>
                </c:pt>
                <c:pt idx="7">
                  <c:v>89 MALL Hair spa</c:v>
                </c:pt>
              </c:strCache>
            </c:strRef>
          </c:cat>
          <c:val>
            <c:numRef>
              <c:f>'06.11'!$L$3:$L$10</c:f>
              <c:numCache>
                <c:formatCode>0.00%</c:formatCode>
                <c:ptCount val="8"/>
                <c:pt idx="0">
                  <c:v>0.2747</c:v>
                </c:pt>
                <c:pt idx="1">
                  <c:v>0.2</c:v>
                </c:pt>
                <c:pt idx="2">
                  <c:v>0.16900000000000001</c:v>
                </c:pt>
                <c:pt idx="3">
                  <c:v>0.13789999999999999</c:v>
                </c:pt>
                <c:pt idx="4">
                  <c:v>0.1091</c:v>
                </c:pt>
                <c:pt idx="5">
                  <c:v>8.43E-2</c:v>
                </c:pt>
                <c:pt idx="6">
                  <c:v>5.6599999999999998E-2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B-4E3C-8FF8-68F46C883D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'07.11'!$L$2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'07.11'!$B$3:$B$10</c:f>
              <c:strCache>
                <c:ptCount val="8"/>
                <c:pt idx="0">
                  <c:v>Sabah Al Salam</c:v>
                </c:pt>
                <c:pt idx="1">
                  <c:v>89 MALL</c:v>
                </c:pt>
                <c:pt idx="2">
                  <c:v>Saad Abdulla</c:v>
                </c:pt>
                <c:pt idx="3">
                  <c:v>Kefan</c:v>
                </c:pt>
                <c:pt idx="4">
                  <c:v>Surra Block 3</c:v>
                </c:pt>
                <c:pt idx="5">
                  <c:v>Dasman</c:v>
                </c:pt>
                <c:pt idx="6">
                  <c:v>89 MALL Hair spa</c:v>
                </c:pt>
                <c:pt idx="7">
                  <c:v>Qurtuba 1</c:v>
                </c:pt>
              </c:strCache>
            </c:strRef>
          </c:cat>
          <c:val>
            <c:numRef>
              <c:f>'07.11'!$L$3:$L$10</c:f>
              <c:numCache>
                <c:formatCode>0.00%</c:formatCode>
                <c:ptCount val="8"/>
                <c:pt idx="0">
                  <c:v>0.41110000000000002</c:v>
                </c:pt>
                <c:pt idx="1">
                  <c:v>0.2727</c:v>
                </c:pt>
                <c:pt idx="2">
                  <c:v>0.2329</c:v>
                </c:pt>
                <c:pt idx="3">
                  <c:v>0.15379999999999999</c:v>
                </c:pt>
                <c:pt idx="4">
                  <c:v>0.11360000000000001</c:v>
                </c:pt>
                <c:pt idx="5">
                  <c:v>7.6899999999999996E-2</c:v>
                </c:pt>
                <c:pt idx="6">
                  <c:v>7.6899999999999996E-2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3-4CA3-B697-8CCE90CB62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'08.11'!$L$2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'08.11'!$B$3:$B$10</c:f>
              <c:strCache>
                <c:ptCount val="8"/>
                <c:pt idx="0">
                  <c:v>Sabah Al Salam</c:v>
                </c:pt>
                <c:pt idx="1">
                  <c:v>Qurtuba 1</c:v>
                </c:pt>
                <c:pt idx="2">
                  <c:v>Saad Abdulla</c:v>
                </c:pt>
                <c:pt idx="3">
                  <c:v>Dasman</c:v>
                </c:pt>
                <c:pt idx="4">
                  <c:v>Kefan</c:v>
                </c:pt>
                <c:pt idx="5">
                  <c:v>Surra Block 3</c:v>
                </c:pt>
                <c:pt idx="6">
                  <c:v>89 MALL</c:v>
                </c:pt>
                <c:pt idx="7">
                  <c:v>89 MALL Hair spa</c:v>
                </c:pt>
              </c:strCache>
            </c:strRef>
          </c:cat>
          <c:val>
            <c:numRef>
              <c:f>'08.11'!$L$3:$L$10</c:f>
              <c:numCache>
                <c:formatCode>0.00%</c:formatCode>
                <c:ptCount val="8"/>
                <c:pt idx="0">
                  <c:v>0.26669999999999999</c:v>
                </c:pt>
                <c:pt idx="1">
                  <c:v>0.15090000000000001</c:v>
                </c:pt>
                <c:pt idx="2">
                  <c:v>0.1333</c:v>
                </c:pt>
                <c:pt idx="3">
                  <c:v>0.12</c:v>
                </c:pt>
                <c:pt idx="4">
                  <c:v>5.62E-2</c:v>
                </c:pt>
                <c:pt idx="5">
                  <c:v>0.05</c:v>
                </c:pt>
                <c:pt idx="6">
                  <c:v>3.85E-2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0-43A9-9E93-D2AE61F005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'09.11'!$L$2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'09.11'!$B$3:$B$10</c:f>
              <c:strCache>
                <c:ptCount val="8"/>
                <c:pt idx="0">
                  <c:v>Sabah Al Salam</c:v>
                </c:pt>
                <c:pt idx="1">
                  <c:v>89 MALL</c:v>
                </c:pt>
                <c:pt idx="2">
                  <c:v>Dasman</c:v>
                </c:pt>
                <c:pt idx="3">
                  <c:v>Kefan</c:v>
                </c:pt>
                <c:pt idx="4">
                  <c:v>Saad Abdulla</c:v>
                </c:pt>
                <c:pt idx="5">
                  <c:v>Qurtuba 1</c:v>
                </c:pt>
                <c:pt idx="6">
                  <c:v>Surra Block 3</c:v>
                </c:pt>
                <c:pt idx="7">
                  <c:v>89 MALL Hair spa</c:v>
                </c:pt>
              </c:strCache>
            </c:strRef>
          </c:cat>
          <c:val>
            <c:numRef>
              <c:f>'09.11'!$L$3:$L$10</c:f>
              <c:numCache>
                <c:formatCode>0.00%</c:formatCode>
                <c:ptCount val="8"/>
                <c:pt idx="0">
                  <c:v>0.5</c:v>
                </c:pt>
                <c:pt idx="1">
                  <c:v>0.13639999999999999</c:v>
                </c:pt>
                <c:pt idx="2">
                  <c:v>0.125</c:v>
                </c:pt>
                <c:pt idx="3">
                  <c:v>0.1094</c:v>
                </c:pt>
                <c:pt idx="4">
                  <c:v>0.1081</c:v>
                </c:pt>
                <c:pt idx="5">
                  <c:v>6.4500000000000002E-2</c:v>
                </c:pt>
                <c:pt idx="6">
                  <c:v>4.3499999999999997E-2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6-4231-91E0-436EC90FE5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'10.11'!$L$2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'10.11'!$B$3:$B$10</c:f>
              <c:strCache>
                <c:ptCount val="8"/>
                <c:pt idx="0">
                  <c:v>Sabah Al Salam</c:v>
                </c:pt>
                <c:pt idx="1">
                  <c:v>89 MALL</c:v>
                </c:pt>
                <c:pt idx="2">
                  <c:v>Saad Abdulla</c:v>
                </c:pt>
                <c:pt idx="3">
                  <c:v>Qurtuba 1</c:v>
                </c:pt>
                <c:pt idx="4">
                  <c:v>Dasman</c:v>
                </c:pt>
                <c:pt idx="5">
                  <c:v>Kefan</c:v>
                </c:pt>
                <c:pt idx="6">
                  <c:v>Surra Block 3</c:v>
                </c:pt>
                <c:pt idx="7">
                  <c:v>89 MALL Hair spa</c:v>
                </c:pt>
              </c:strCache>
            </c:strRef>
          </c:cat>
          <c:val>
            <c:numRef>
              <c:f>'10.11'!$L$3:$L$10</c:f>
              <c:numCache>
                <c:formatCode>0.00%</c:formatCode>
                <c:ptCount val="8"/>
                <c:pt idx="0">
                  <c:v>0.20269999999999999</c:v>
                </c:pt>
                <c:pt idx="1">
                  <c:v>0.17649999999999999</c:v>
                </c:pt>
                <c:pt idx="2">
                  <c:v>0.1739</c:v>
                </c:pt>
                <c:pt idx="3">
                  <c:v>0.14000000000000001</c:v>
                </c:pt>
                <c:pt idx="4">
                  <c:v>0.13039999999999999</c:v>
                </c:pt>
                <c:pt idx="5">
                  <c:v>0.10390000000000001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0-4F17-A83D-519A4D59BA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'11.11'!$L$2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'11.11'!$B$3:$B$10</c:f>
              <c:strCache>
                <c:ptCount val="8"/>
                <c:pt idx="0">
                  <c:v>Sabah Al Salam</c:v>
                </c:pt>
                <c:pt idx="1">
                  <c:v>89 MALL</c:v>
                </c:pt>
                <c:pt idx="2">
                  <c:v>Kefan</c:v>
                </c:pt>
                <c:pt idx="3">
                  <c:v>89 MALL Hair spa</c:v>
                </c:pt>
                <c:pt idx="4">
                  <c:v>Qurtuba 1</c:v>
                </c:pt>
                <c:pt idx="5">
                  <c:v>Saad Abdulla</c:v>
                </c:pt>
                <c:pt idx="6">
                  <c:v>Dasman</c:v>
                </c:pt>
                <c:pt idx="7">
                  <c:v>Surra Block 3</c:v>
                </c:pt>
              </c:strCache>
            </c:strRef>
          </c:cat>
          <c:val>
            <c:numRef>
              <c:f>'11.11'!$L$3:$L$10</c:f>
              <c:numCache>
                <c:formatCode>0.00%</c:formatCode>
                <c:ptCount val="8"/>
                <c:pt idx="0">
                  <c:v>0.2167</c:v>
                </c:pt>
                <c:pt idx="1">
                  <c:v>0.2</c:v>
                </c:pt>
                <c:pt idx="2">
                  <c:v>0.18290000000000001</c:v>
                </c:pt>
                <c:pt idx="3">
                  <c:v>0.1429</c:v>
                </c:pt>
                <c:pt idx="4">
                  <c:v>7.6899999999999996E-2</c:v>
                </c:pt>
                <c:pt idx="5">
                  <c:v>5.2600000000000001E-2</c:v>
                </c:pt>
                <c:pt idx="6">
                  <c:v>0.04</c:v>
                </c:pt>
                <c:pt idx="7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1-451A-BE0E-DE193D5438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'12.11'!$L$2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'12.11'!$B$3:$B$10</c:f>
              <c:strCache>
                <c:ptCount val="8"/>
                <c:pt idx="0">
                  <c:v>89 MALL</c:v>
                </c:pt>
                <c:pt idx="1">
                  <c:v>Kefan</c:v>
                </c:pt>
                <c:pt idx="2">
                  <c:v>Dasman</c:v>
                </c:pt>
                <c:pt idx="3">
                  <c:v>Sabah Al Salam</c:v>
                </c:pt>
                <c:pt idx="4">
                  <c:v>Saad Abdulla</c:v>
                </c:pt>
                <c:pt idx="5">
                  <c:v>Qurtuba 1</c:v>
                </c:pt>
                <c:pt idx="6">
                  <c:v>89 MALL Hair spa</c:v>
                </c:pt>
                <c:pt idx="7">
                  <c:v>Surra Block 3</c:v>
                </c:pt>
              </c:strCache>
            </c:strRef>
          </c:cat>
          <c:val>
            <c:numRef>
              <c:f>'12.11'!$L$3:$L$10</c:f>
              <c:numCache>
                <c:formatCode>0.00%</c:formatCode>
                <c:ptCount val="8"/>
                <c:pt idx="0">
                  <c:v>0.41670000000000001</c:v>
                </c:pt>
                <c:pt idx="1">
                  <c:v>0.34</c:v>
                </c:pt>
                <c:pt idx="2">
                  <c:v>0.23080000000000001</c:v>
                </c:pt>
                <c:pt idx="3">
                  <c:v>0.22639999999999999</c:v>
                </c:pt>
                <c:pt idx="4">
                  <c:v>0.21429999999999999</c:v>
                </c:pt>
                <c:pt idx="5">
                  <c:v>0.1739</c:v>
                </c:pt>
                <c:pt idx="6">
                  <c:v>0.16669999999999999</c:v>
                </c:pt>
                <c:pt idx="7">
                  <c:v>9.7600000000000006E-2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E-4257-80CB-9BC1E80C7F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'13.11'!$L$2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'13.11'!$B$3:$B$10</c:f>
              <c:strCache>
                <c:ptCount val="8"/>
                <c:pt idx="0">
                  <c:v>89 MALL Hair spa</c:v>
                </c:pt>
                <c:pt idx="1">
                  <c:v>Kefan</c:v>
                </c:pt>
                <c:pt idx="2">
                  <c:v>89 MALL</c:v>
                </c:pt>
                <c:pt idx="3">
                  <c:v>Saad Abdulla</c:v>
                </c:pt>
                <c:pt idx="4">
                  <c:v>Sabah Al Salam</c:v>
                </c:pt>
                <c:pt idx="5">
                  <c:v>Dasman</c:v>
                </c:pt>
                <c:pt idx="6">
                  <c:v>Surra Block 3</c:v>
                </c:pt>
                <c:pt idx="7">
                  <c:v>Qurtuba 1</c:v>
                </c:pt>
              </c:strCache>
            </c:strRef>
          </c:cat>
          <c:val>
            <c:numRef>
              <c:f>'13.11'!$L$3:$L$10</c:f>
              <c:numCache>
                <c:formatCode>0.00%</c:formatCode>
                <c:ptCount val="8"/>
                <c:pt idx="0">
                  <c:v>0.5</c:v>
                </c:pt>
                <c:pt idx="1">
                  <c:v>0.3952</c:v>
                </c:pt>
                <c:pt idx="2">
                  <c:v>0.37290000000000001</c:v>
                </c:pt>
                <c:pt idx="3">
                  <c:v>0.3196</c:v>
                </c:pt>
                <c:pt idx="4">
                  <c:v>0.20219999999999999</c:v>
                </c:pt>
                <c:pt idx="5">
                  <c:v>0.13950000000000001</c:v>
                </c:pt>
                <c:pt idx="6">
                  <c:v>0.1154</c:v>
                </c:pt>
                <c:pt idx="7">
                  <c:v>0.1053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9-4CED-9E76-9DE6ED12C5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'14.11'!$L$2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'14.11'!$B$3:$B$10</c:f>
              <c:strCache>
                <c:ptCount val="8"/>
                <c:pt idx="0">
                  <c:v>Sabah Al Salam</c:v>
                </c:pt>
                <c:pt idx="1">
                  <c:v>Kefan</c:v>
                </c:pt>
                <c:pt idx="2">
                  <c:v>89 MALL</c:v>
                </c:pt>
                <c:pt idx="3">
                  <c:v>Saad Abdulla</c:v>
                </c:pt>
                <c:pt idx="4">
                  <c:v>Qurtuba 1</c:v>
                </c:pt>
                <c:pt idx="5">
                  <c:v>89 MALL Hair spa</c:v>
                </c:pt>
                <c:pt idx="6">
                  <c:v>Dasman</c:v>
                </c:pt>
                <c:pt idx="7">
                  <c:v>Surra Block 3</c:v>
                </c:pt>
              </c:strCache>
            </c:strRef>
          </c:cat>
          <c:val>
            <c:numRef>
              <c:f>'14.11'!$L$3:$L$10</c:f>
              <c:numCache>
                <c:formatCode>0.00%</c:formatCode>
                <c:ptCount val="8"/>
                <c:pt idx="0">
                  <c:v>0.56759999999999999</c:v>
                </c:pt>
                <c:pt idx="1">
                  <c:v>0.54549999999999998</c:v>
                </c:pt>
                <c:pt idx="2">
                  <c:v>0.46939999999999998</c:v>
                </c:pt>
                <c:pt idx="3">
                  <c:v>0.39079999999999998</c:v>
                </c:pt>
                <c:pt idx="4">
                  <c:v>0.21879999999999999</c:v>
                </c:pt>
                <c:pt idx="5">
                  <c:v>0.2</c:v>
                </c:pt>
                <c:pt idx="6">
                  <c:v>0.1628</c:v>
                </c:pt>
                <c:pt idx="7">
                  <c:v>0.13039999999999999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3-4402-86A0-480A58D061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'15.11'!$L$2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'15.11'!$B$3:$B$10</c:f>
              <c:strCache>
                <c:ptCount val="8"/>
                <c:pt idx="0">
                  <c:v>Sabah Al Salam</c:v>
                </c:pt>
                <c:pt idx="1">
                  <c:v>89 MALL</c:v>
                </c:pt>
                <c:pt idx="2">
                  <c:v>Kefan</c:v>
                </c:pt>
                <c:pt idx="3">
                  <c:v>89 MALL Hair spa</c:v>
                </c:pt>
                <c:pt idx="4">
                  <c:v>Surra Block 3</c:v>
                </c:pt>
                <c:pt idx="5">
                  <c:v>Dasman</c:v>
                </c:pt>
                <c:pt idx="6">
                  <c:v>Saad Abdulla</c:v>
                </c:pt>
                <c:pt idx="7">
                  <c:v>Qurtuba 1</c:v>
                </c:pt>
              </c:strCache>
            </c:strRef>
          </c:cat>
          <c:val>
            <c:numRef>
              <c:f>'15.11'!$L$3:$L$10</c:f>
              <c:numCache>
                <c:formatCode>0.00%</c:formatCode>
                <c:ptCount val="8"/>
                <c:pt idx="0">
                  <c:v>0.4667</c:v>
                </c:pt>
                <c:pt idx="1">
                  <c:v>0.38890000000000002</c:v>
                </c:pt>
                <c:pt idx="2">
                  <c:v>0.36130000000000001</c:v>
                </c:pt>
                <c:pt idx="3">
                  <c:v>0.2727</c:v>
                </c:pt>
                <c:pt idx="4">
                  <c:v>0.17780000000000001</c:v>
                </c:pt>
                <c:pt idx="5">
                  <c:v>9.3799999999999994E-2</c:v>
                </c:pt>
                <c:pt idx="6">
                  <c:v>5.5599999999999997E-2</c:v>
                </c:pt>
                <c:pt idx="7">
                  <c:v>3.1699999999999999E-2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2-4DBE-824A-3B91ECC9A9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'16.11'!$L$2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'16.11'!$B$3:$B$10</c:f>
              <c:strCache>
                <c:ptCount val="8"/>
                <c:pt idx="0">
                  <c:v>Kefan</c:v>
                </c:pt>
                <c:pt idx="1">
                  <c:v>Sabah Al Salam</c:v>
                </c:pt>
                <c:pt idx="2">
                  <c:v>Saad Abdulla</c:v>
                </c:pt>
                <c:pt idx="3">
                  <c:v>89 MALL Hair spa</c:v>
                </c:pt>
                <c:pt idx="4">
                  <c:v>Dasman</c:v>
                </c:pt>
                <c:pt idx="5">
                  <c:v>89 MALL</c:v>
                </c:pt>
                <c:pt idx="6">
                  <c:v>Surra Block 3</c:v>
                </c:pt>
                <c:pt idx="7">
                  <c:v>Qurtuba 1</c:v>
                </c:pt>
              </c:strCache>
            </c:strRef>
          </c:cat>
          <c:val>
            <c:numRef>
              <c:f>'16.11'!$L$3:$L$10</c:f>
              <c:numCache>
                <c:formatCode>0.00%</c:formatCode>
                <c:ptCount val="8"/>
                <c:pt idx="0">
                  <c:v>0.254</c:v>
                </c:pt>
                <c:pt idx="1">
                  <c:v>0.21310000000000001</c:v>
                </c:pt>
                <c:pt idx="2">
                  <c:v>0.18179999999999999</c:v>
                </c:pt>
                <c:pt idx="3">
                  <c:v>0.1429</c:v>
                </c:pt>
                <c:pt idx="4">
                  <c:v>0.1176</c:v>
                </c:pt>
                <c:pt idx="5">
                  <c:v>0.05</c:v>
                </c:pt>
                <c:pt idx="6">
                  <c:v>4.3499999999999997E-2</c:v>
                </c:pt>
                <c:pt idx="7">
                  <c:v>3.0300000000000001E-2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C-4919-8E5C-6763352705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'17.11'!$L$2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'17.11'!$B$3:$B$10</c:f>
              <c:strCache>
                <c:ptCount val="8"/>
                <c:pt idx="0">
                  <c:v>Kefan</c:v>
                </c:pt>
                <c:pt idx="1">
                  <c:v>Sabah Al Salam</c:v>
                </c:pt>
                <c:pt idx="2">
                  <c:v>Qurtuba 1</c:v>
                </c:pt>
                <c:pt idx="3">
                  <c:v>Saad Abdulla</c:v>
                </c:pt>
                <c:pt idx="4">
                  <c:v>89 MALL Hair spa</c:v>
                </c:pt>
                <c:pt idx="5">
                  <c:v>Surra Block 3</c:v>
                </c:pt>
                <c:pt idx="6">
                  <c:v>89 MALL</c:v>
                </c:pt>
                <c:pt idx="7">
                  <c:v>Dasman</c:v>
                </c:pt>
              </c:strCache>
            </c:strRef>
          </c:cat>
          <c:val>
            <c:numRef>
              <c:f>'17.11'!$L$3:$L$10</c:f>
              <c:numCache>
                <c:formatCode>0.00%</c:formatCode>
                <c:ptCount val="8"/>
                <c:pt idx="0">
                  <c:v>0.23880000000000001</c:v>
                </c:pt>
                <c:pt idx="1">
                  <c:v>0.17649999999999999</c:v>
                </c:pt>
                <c:pt idx="2">
                  <c:v>0.10199999999999999</c:v>
                </c:pt>
                <c:pt idx="3">
                  <c:v>0.1</c:v>
                </c:pt>
                <c:pt idx="4">
                  <c:v>9.0899999999999995E-2</c:v>
                </c:pt>
                <c:pt idx="5">
                  <c:v>8.3299999999999999E-2</c:v>
                </c:pt>
                <c:pt idx="6">
                  <c:v>0.08</c:v>
                </c:pt>
                <c:pt idx="7">
                  <c:v>6.0600000000000001E-2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F-4832-9039-470E9648A4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'18.11'!$L$2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'18.11'!$B$3:$B$10</c:f>
              <c:strCache>
                <c:ptCount val="8"/>
                <c:pt idx="0">
                  <c:v>Kefan</c:v>
                </c:pt>
                <c:pt idx="1">
                  <c:v>89 MALL</c:v>
                </c:pt>
                <c:pt idx="2">
                  <c:v>89 MALL Hair spa</c:v>
                </c:pt>
                <c:pt idx="3">
                  <c:v>Qurtuba 1</c:v>
                </c:pt>
                <c:pt idx="4">
                  <c:v>Sabah Al Salam</c:v>
                </c:pt>
                <c:pt idx="5">
                  <c:v>Surra Block 3</c:v>
                </c:pt>
                <c:pt idx="6">
                  <c:v>Dasman</c:v>
                </c:pt>
                <c:pt idx="7">
                  <c:v>Saad Abdulla</c:v>
                </c:pt>
              </c:strCache>
            </c:strRef>
          </c:cat>
          <c:val>
            <c:numRef>
              <c:f>'18.11'!$L$3:$L$10</c:f>
              <c:numCache>
                <c:formatCode>0.00%</c:formatCode>
                <c:ptCount val="8"/>
                <c:pt idx="0">
                  <c:v>0.28000000000000003</c:v>
                </c:pt>
                <c:pt idx="1">
                  <c:v>0.1724</c:v>
                </c:pt>
                <c:pt idx="2">
                  <c:v>0.16669999999999999</c:v>
                </c:pt>
                <c:pt idx="3">
                  <c:v>0.13639999999999999</c:v>
                </c:pt>
                <c:pt idx="4">
                  <c:v>9.8599999999999993E-2</c:v>
                </c:pt>
                <c:pt idx="5">
                  <c:v>9.0899999999999995E-2</c:v>
                </c:pt>
                <c:pt idx="6">
                  <c:v>5.5599999999999997E-2</c:v>
                </c:pt>
                <c:pt idx="7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E-40BA-8132-E1576164CA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'19.11'!$L$2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'19.11'!$B$3:$B$10</c:f>
              <c:strCache>
                <c:ptCount val="8"/>
                <c:pt idx="0">
                  <c:v>Kefan</c:v>
                </c:pt>
                <c:pt idx="1">
                  <c:v>89 MALL</c:v>
                </c:pt>
                <c:pt idx="2">
                  <c:v>Sabah Al Salam</c:v>
                </c:pt>
                <c:pt idx="3">
                  <c:v>Saad Abdulla</c:v>
                </c:pt>
                <c:pt idx="4">
                  <c:v>Qurtuba 1</c:v>
                </c:pt>
                <c:pt idx="5">
                  <c:v>89 MALL Hair spa</c:v>
                </c:pt>
                <c:pt idx="6">
                  <c:v>Surra Block 3</c:v>
                </c:pt>
                <c:pt idx="7">
                  <c:v>Dasman</c:v>
                </c:pt>
              </c:strCache>
            </c:strRef>
          </c:cat>
          <c:val>
            <c:numRef>
              <c:f>'19.11'!$L$3:$L$10</c:f>
              <c:numCache>
                <c:formatCode>0.00%</c:formatCode>
                <c:ptCount val="8"/>
                <c:pt idx="0">
                  <c:v>0.36259999999999998</c:v>
                </c:pt>
                <c:pt idx="1">
                  <c:v>0.35139999999999999</c:v>
                </c:pt>
                <c:pt idx="2">
                  <c:v>0.21279999999999999</c:v>
                </c:pt>
                <c:pt idx="3">
                  <c:v>0.1739</c:v>
                </c:pt>
                <c:pt idx="4">
                  <c:v>0.1429</c:v>
                </c:pt>
                <c:pt idx="5">
                  <c:v>0.1</c:v>
                </c:pt>
                <c:pt idx="6">
                  <c:v>9.7600000000000006E-2</c:v>
                </c:pt>
                <c:pt idx="7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C-4626-AAC9-A561F70442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'20.11'!$B$3:$B$10</c:f>
              <c:strCache>
                <c:ptCount val="8"/>
                <c:pt idx="0">
                  <c:v>Kefan</c:v>
                </c:pt>
                <c:pt idx="1">
                  <c:v>89 MALL</c:v>
                </c:pt>
                <c:pt idx="2">
                  <c:v>Saad Abdulla</c:v>
                </c:pt>
                <c:pt idx="3">
                  <c:v>Sabah Al Salam</c:v>
                </c:pt>
                <c:pt idx="4">
                  <c:v>Surra Block 3</c:v>
                </c:pt>
                <c:pt idx="5">
                  <c:v>Qurtuba 1</c:v>
                </c:pt>
                <c:pt idx="6">
                  <c:v>Dasman</c:v>
                </c:pt>
                <c:pt idx="7">
                  <c:v>89 MALL Hair spa</c:v>
                </c:pt>
              </c:strCache>
            </c:strRef>
          </c:cat>
          <c:val>
            <c:numRef>
              <c:f>'20.11'!$L$3:$L$10</c:f>
              <c:numCache>
                <c:formatCode>0.00%</c:formatCode>
                <c:ptCount val="8"/>
                <c:pt idx="0">
                  <c:v>0.44440000000000002</c:v>
                </c:pt>
                <c:pt idx="1">
                  <c:v>0.39219999999999999</c:v>
                </c:pt>
                <c:pt idx="2">
                  <c:v>0.32500000000000001</c:v>
                </c:pt>
                <c:pt idx="3">
                  <c:v>0.27500000000000002</c:v>
                </c:pt>
                <c:pt idx="4">
                  <c:v>0.19439999999999999</c:v>
                </c:pt>
                <c:pt idx="5">
                  <c:v>0.1857</c:v>
                </c:pt>
                <c:pt idx="6">
                  <c:v>0.16669999999999999</c:v>
                </c:pt>
                <c:pt idx="7">
                  <c:v>7.1400000000000005E-2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B-4D49-9A17-3431CEC38E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'21.11'!$L$2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'21.11'!$B$3:$B$10</c:f>
              <c:strCache>
                <c:ptCount val="8"/>
                <c:pt idx="0">
                  <c:v>Saad Abdulla</c:v>
                </c:pt>
                <c:pt idx="1">
                  <c:v>Kefan</c:v>
                </c:pt>
                <c:pt idx="2">
                  <c:v>89 MALL</c:v>
                </c:pt>
                <c:pt idx="3">
                  <c:v>Sabah Al Salam</c:v>
                </c:pt>
                <c:pt idx="4">
                  <c:v>Qurtuba 1</c:v>
                </c:pt>
                <c:pt idx="5">
                  <c:v>Dasman</c:v>
                </c:pt>
                <c:pt idx="6">
                  <c:v>89 MALL Hair spa</c:v>
                </c:pt>
                <c:pt idx="7">
                  <c:v>Surra Block 3</c:v>
                </c:pt>
              </c:strCache>
            </c:strRef>
          </c:cat>
          <c:val>
            <c:numRef>
              <c:f>'21.11'!$L$3:$L$10</c:f>
              <c:numCache>
                <c:formatCode>0.00%</c:formatCode>
                <c:ptCount val="8"/>
                <c:pt idx="0">
                  <c:v>0.35289999999999999</c:v>
                </c:pt>
                <c:pt idx="1">
                  <c:v>0.30559999999999998</c:v>
                </c:pt>
                <c:pt idx="2">
                  <c:v>0.26319999999999999</c:v>
                </c:pt>
                <c:pt idx="3">
                  <c:v>0.12989999999999999</c:v>
                </c:pt>
                <c:pt idx="4">
                  <c:v>0.12</c:v>
                </c:pt>
                <c:pt idx="5">
                  <c:v>0.1154</c:v>
                </c:pt>
                <c:pt idx="6">
                  <c:v>0.1111</c:v>
                </c:pt>
                <c:pt idx="7">
                  <c:v>5.1299999999999998E-2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3-4791-947D-83F3B1D818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Missed &amp; Abandoned</a:t>
            </a:r>
          </a:p>
        </c:rich>
      </c:tx>
      <c:layout>
        <c:manualLayout>
          <c:xMode val="edge"/>
          <c:yMode val="edge"/>
          <c:x val="0.77886453558976765"/>
          <c:y val="2.5773187158999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06636579891543"/>
          <c:y val="0"/>
          <c:w val="0.66218384028258204"/>
          <c:h val="0.89956768785064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'22.11'!$L$2</c:f>
              <c:strCache>
                <c:ptCount val="1"/>
                <c:pt idx="0">
                  <c:v>Abandon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'22.11'!$B$3:$B$10</c:f>
              <c:strCache>
                <c:ptCount val="8"/>
                <c:pt idx="0">
                  <c:v>Kefan</c:v>
                </c:pt>
                <c:pt idx="1">
                  <c:v>Saad Abdulla</c:v>
                </c:pt>
                <c:pt idx="2">
                  <c:v>Qurtuba 1</c:v>
                </c:pt>
                <c:pt idx="3">
                  <c:v>89 MALL</c:v>
                </c:pt>
                <c:pt idx="4">
                  <c:v>Surra Block 3</c:v>
                </c:pt>
                <c:pt idx="5">
                  <c:v>89 MALL Hair spa</c:v>
                </c:pt>
                <c:pt idx="6">
                  <c:v>Sabah Al Salam</c:v>
                </c:pt>
                <c:pt idx="7">
                  <c:v>Dasman</c:v>
                </c:pt>
              </c:strCache>
            </c:strRef>
          </c:cat>
          <c:val>
            <c:numRef>
              <c:f>'22.11'!$L$3:$L$10</c:f>
              <c:numCache>
                <c:formatCode>0.00%</c:formatCode>
                <c:ptCount val="8"/>
                <c:pt idx="0">
                  <c:v>0.6714</c:v>
                </c:pt>
                <c:pt idx="1">
                  <c:v>0.4</c:v>
                </c:pt>
                <c:pt idx="2">
                  <c:v>0.23530000000000001</c:v>
                </c:pt>
                <c:pt idx="3">
                  <c:v>0.2258</c:v>
                </c:pt>
                <c:pt idx="4">
                  <c:v>0.14749999999999999</c:v>
                </c:pt>
                <c:pt idx="5">
                  <c:v>0.1429</c:v>
                </c:pt>
                <c:pt idx="6">
                  <c:v>0.1351</c:v>
                </c:pt>
                <c:pt idx="7">
                  <c:v>0.1111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D-4943-A447-C056595CF5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162933"/>
        <c:axId val="801513083"/>
      </c:barChart>
      <c:catAx>
        <c:axId val="490162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13083"/>
        <c:crosses val="autoZero"/>
        <c:auto val="1"/>
        <c:lblAlgn val="ctr"/>
        <c:lblOffset val="100"/>
        <c:noMultiLvlLbl val="0"/>
      </c:catAx>
      <c:valAx>
        <c:axId val="8015130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29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A769ADB7-0FCB-41F6-99FF-FEFB488B4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7B3C8371-96C9-428B-81CE-BE01EA783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03F89CDD-4895-48E4-8A1E-ED6D65A24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B5AE4997-5B38-43FA-BC1C-4C3CCE044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A4A925A5-4816-4EA7-8684-201D4020C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00F60A68-E9B1-4500-AC6B-1E690971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C25E7B87-9490-4B17-BE90-F81F9E879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C8454246-6BF0-485D-BE00-34404C8A9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B3B14056-EA52-41CB-9915-825913C8D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417C0842-5D88-4E18-A3CB-49C0F2DE3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907637B3-25C5-4568-98EB-855A618AC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C404658E-3231-4BEA-814E-04B946604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936BCF56-0FB3-4874-999B-D81E7E73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15742979-1D04-4686-9B97-03275AB52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6C108305-BEB0-4436-B386-61036E80A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943C5AC6-3BDA-4189-ABA2-37EEC5F15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B16DCD04-81DD-4BB7-AF63-7A5129F14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D2CDF643-FE99-4F9B-8844-92398C79A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67656B06-07E8-424E-AFCD-69EED2ACA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06D21BED-20AC-45A7-8899-768B16713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B255AA3C-5772-498F-A08F-0D15F34A9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413385</xdr:colOff>
      <xdr:row>28</xdr:row>
      <xdr:rowOff>144781</xdr:rowOff>
    </xdr:to>
    <xdr:graphicFrame macro="">
      <xdr:nvGraphicFramePr>
        <xdr:cNvPr id="2" name="图表 29">
          <a:extLst>
            <a:ext uri="{FF2B5EF4-FFF2-40B4-BE49-F238E27FC236}">
              <a16:creationId xmlns:a16="http://schemas.microsoft.com/office/drawing/2014/main" id="{D010BE86-9028-4C9D-BFF5-BF6BF7AD1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B537-BC56-47C4-98DD-10FDF3EBC8A9}">
  <dimension ref="A1:M13"/>
  <sheetViews>
    <sheetView workbookViewId="0">
      <selection activeCell="K4" sqref="K4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87</v>
      </c>
      <c r="D3" s="5">
        <f>C3-E3</f>
        <v>82</v>
      </c>
      <c r="E3" s="5">
        <v>5</v>
      </c>
      <c r="F3" s="6">
        <v>9.3750000000000007E-4</v>
      </c>
      <c r="G3" s="6">
        <v>3.1250000000000001E-4</v>
      </c>
      <c r="H3" s="6">
        <v>4.3981481481481481E-4</v>
      </c>
      <c r="I3" s="6">
        <v>1.8750000000000001E-3</v>
      </c>
      <c r="J3" s="6">
        <v>6.2500000000000001E-4</v>
      </c>
      <c r="K3" s="7">
        <v>0.70109999999999995</v>
      </c>
      <c r="L3" s="7">
        <v>0.2989</v>
      </c>
      <c r="M3" s="8">
        <v>0.18</v>
      </c>
    </row>
    <row r="4" spans="1:13" ht="16.5" customHeight="1" x14ac:dyDescent="0.3">
      <c r="A4" s="5">
        <f>SUBTOTAL(3,$B$2:B4)-1</f>
        <v>2</v>
      </c>
      <c r="B4" s="4" t="s">
        <v>18</v>
      </c>
      <c r="C4" s="5">
        <v>97</v>
      </c>
      <c r="D4" s="5">
        <f t="shared" ref="D4:D10" si="0">C4-E4</f>
        <v>95</v>
      </c>
      <c r="E4" s="5">
        <v>2</v>
      </c>
      <c r="F4" s="6">
        <v>9.6064814814814808E-4</v>
      </c>
      <c r="G4" s="6">
        <v>1.3888888888888889E-4</v>
      </c>
      <c r="H4" s="6">
        <v>2.7777777777777778E-4</v>
      </c>
      <c r="I4" s="6">
        <v>1.6782407407407406E-3</v>
      </c>
      <c r="J4" s="6">
        <v>8.2175925925925917E-4</v>
      </c>
      <c r="K4" s="7">
        <v>0.74229999999999996</v>
      </c>
      <c r="L4" s="7">
        <v>0.25769999999999998</v>
      </c>
      <c r="M4" s="8">
        <v>0.21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50</v>
      </c>
      <c r="D5" s="5">
        <f t="shared" si="0"/>
        <v>48</v>
      </c>
      <c r="E5" s="5">
        <v>2</v>
      </c>
      <c r="F5" s="6">
        <v>8.449074074074075E-4</v>
      </c>
      <c r="G5" s="6">
        <v>1.9675925925925926E-4</v>
      </c>
      <c r="H5" s="6">
        <v>3.1250000000000001E-4</v>
      </c>
      <c r="I5" s="6">
        <v>1.5393518518518519E-3</v>
      </c>
      <c r="J5" s="6">
        <v>6.4814814814814813E-4</v>
      </c>
      <c r="K5" s="7">
        <v>0.76</v>
      </c>
      <c r="L5" s="7">
        <v>0.24</v>
      </c>
      <c r="M5" s="8">
        <v>0.11</v>
      </c>
    </row>
    <row r="6" spans="1:13" ht="16.5" customHeight="1" x14ac:dyDescent="0.3">
      <c r="A6" s="5">
        <f>SUBTOTAL(3,$B$2:B6)-1</f>
        <v>4</v>
      </c>
      <c r="B6" s="4" t="s">
        <v>14</v>
      </c>
      <c r="C6" s="5">
        <v>26</v>
      </c>
      <c r="D6" s="5">
        <f t="shared" si="0"/>
        <v>26</v>
      </c>
      <c r="E6" s="5">
        <v>0</v>
      </c>
      <c r="F6" s="6">
        <v>8.9120370370370362E-4</v>
      </c>
      <c r="G6" s="6">
        <v>1.3888888888888889E-4</v>
      </c>
      <c r="H6" s="6">
        <v>1.8518518518518518E-4</v>
      </c>
      <c r="I6" s="6">
        <v>9.4907407407407408E-4</v>
      </c>
      <c r="J6" s="6">
        <v>7.5231481481481471E-4</v>
      </c>
      <c r="K6" s="7">
        <v>0.84619999999999995</v>
      </c>
      <c r="L6" s="7">
        <v>0.15379999999999999</v>
      </c>
      <c r="M6" s="8">
        <v>0.06</v>
      </c>
    </row>
    <row r="7" spans="1:13" ht="16.5" customHeight="1" x14ac:dyDescent="0.3">
      <c r="A7" s="5">
        <f>SUBTOTAL(3,$B$2:B7)-1</f>
        <v>5</v>
      </c>
      <c r="B7" s="4" t="s">
        <v>17</v>
      </c>
      <c r="C7" s="5">
        <v>60</v>
      </c>
      <c r="D7" s="5">
        <f t="shared" si="0"/>
        <v>60</v>
      </c>
      <c r="E7" s="5">
        <v>0</v>
      </c>
      <c r="F7" s="6">
        <v>8.6805555555555551E-4</v>
      </c>
      <c r="G7" s="6">
        <v>1.8518518518518518E-4</v>
      </c>
      <c r="H7" s="6">
        <v>2.199074074074074E-4</v>
      </c>
      <c r="I7" s="6">
        <v>2.0486111111111113E-3</v>
      </c>
      <c r="J7" s="6">
        <v>6.7129629629629625E-4</v>
      </c>
      <c r="K7" s="7">
        <v>0.9</v>
      </c>
      <c r="L7" s="7">
        <v>0.1</v>
      </c>
      <c r="M7" s="8">
        <v>0.16</v>
      </c>
    </row>
    <row r="8" spans="1:13" ht="16.5" customHeight="1" x14ac:dyDescent="0.3">
      <c r="A8" s="5">
        <f>SUBTOTAL(3,$B$2:B8)-1</f>
        <v>6</v>
      </c>
      <c r="B8" s="4" t="s">
        <v>16</v>
      </c>
      <c r="C8" s="5">
        <v>59</v>
      </c>
      <c r="D8" s="5">
        <f t="shared" si="0"/>
        <v>58</v>
      </c>
      <c r="E8" s="5">
        <v>1</v>
      </c>
      <c r="F8" s="6">
        <v>8.1018518518518516E-4</v>
      </c>
      <c r="G8" s="6">
        <v>1.5046296296296297E-4</v>
      </c>
      <c r="H8" s="6">
        <v>1.7361111111111112E-4</v>
      </c>
      <c r="I8" s="6">
        <v>1.6435185185185183E-3</v>
      </c>
      <c r="J8" s="6">
        <v>6.5972222222222213E-4</v>
      </c>
      <c r="K8" s="7">
        <v>0.93220000000000003</v>
      </c>
      <c r="L8" s="7">
        <v>6.7799999999999999E-2</v>
      </c>
      <c r="M8" s="8">
        <v>0.05</v>
      </c>
    </row>
    <row r="9" spans="1:13" ht="16.5" customHeight="1" x14ac:dyDescent="0.3">
      <c r="A9" s="5">
        <f>SUBTOTAL(3,$B$2:B9)-1</f>
        <v>7</v>
      </c>
      <c r="B9" s="4" t="s">
        <v>19</v>
      </c>
      <c r="C9" s="5">
        <v>35</v>
      </c>
      <c r="D9" s="5">
        <f t="shared" si="0"/>
        <v>35</v>
      </c>
      <c r="E9" s="5">
        <v>0</v>
      </c>
      <c r="F9" s="6">
        <v>1.1805555555555556E-3</v>
      </c>
      <c r="G9" s="6">
        <v>2.3148148148148146E-4</v>
      </c>
      <c r="H9" s="6">
        <v>2.5462962962962961E-4</v>
      </c>
      <c r="I9" s="6">
        <v>9.9537037037037042E-4</v>
      </c>
      <c r="J9" s="6">
        <v>9.3750000000000007E-4</v>
      </c>
      <c r="K9" s="7">
        <v>0.97140000000000004</v>
      </c>
      <c r="L9" s="7">
        <v>2.86E-2</v>
      </c>
      <c r="M9" s="8">
        <v>0.21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9</v>
      </c>
      <c r="D10" s="5">
        <f t="shared" si="0"/>
        <v>9</v>
      </c>
      <c r="E10" s="5">
        <v>0</v>
      </c>
      <c r="F10" s="6">
        <v>7.407407407407407E-4</v>
      </c>
      <c r="G10" s="6">
        <v>1.6203703703703703E-4</v>
      </c>
      <c r="H10" s="6">
        <v>1.6203703703703703E-4</v>
      </c>
      <c r="I10" s="6">
        <v>1.0648148148148147E-3</v>
      </c>
      <c r="J10" s="6">
        <v>5.7870370370370378E-4</v>
      </c>
      <c r="K10" s="7">
        <v>1</v>
      </c>
      <c r="L10" s="7">
        <v>0</v>
      </c>
      <c r="M10" s="8">
        <v>0.02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62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19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423</v>
      </c>
      <c r="D13" s="13">
        <f>SUM(D3:D10)</f>
        <v>413</v>
      </c>
      <c r="E13" s="13">
        <f>SUM(E3:E10)</f>
        <v>10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B493-8B1E-441D-85A1-8ED94F0D045C}">
  <dimension ref="A1:M13"/>
  <sheetViews>
    <sheetView workbookViewId="0">
      <selection activeCell="M11" sqref="M11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45</v>
      </c>
      <c r="D3" s="5">
        <f>C3-E3</f>
        <v>41</v>
      </c>
      <c r="E3" s="5">
        <v>4</v>
      </c>
      <c r="F3" s="6">
        <v>1.25E-3</v>
      </c>
      <c r="G3" s="6">
        <v>4.6296296296296293E-4</v>
      </c>
      <c r="H3" s="6">
        <v>7.175925925925927E-4</v>
      </c>
      <c r="I3" s="6">
        <v>2.8240740740740739E-3</v>
      </c>
      <c r="J3" s="6">
        <v>7.8703703703703705E-4</v>
      </c>
      <c r="K3" s="7">
        <v>0.44440000000000002</v>
      </c>
      <c r="L3" s="7">
        <v>0.55559999999999998</v>
      </c>
      <c r="M3" s="8">
        <v>0.19</v>
      </c>
    </row>
    <row r="4" spans="1:13" ht="16.5" customHeight="1" x14ac:dyDescent="0.3">
      <c r="A4" s="5">
        <f>SUBTOTAL(3,$B$2:B4)-1</f>
        <v>2</v>
      </c>
      <c r="B4" s="4" t="s">
        <v>13</v>
      </c>
      <c r="C4" s="5">
        <v>52</v>
      </c>
      <c r="D4" s="5">
        <f t="shared" ref="D4:D10" si="0">C4-E4</f>
        <v>50</v>
      </c>
      <c r="E4" s="5">
        <v>2</v>
      </c>
      <c r="F4" s="6">
        <v>8.9120370370370362E-4</v>
      </c>
      <c r="G4" s="6">
        <v>2.199074074074074E-4</v>
      </c>
      <c r="H4" s="6">
        <v>4.6296296296296293E-4</v>
      </c>
      <c r="I4" s="6">
        <v>1.7592592592592592E-3</v>
      </c>
      <c r="J4" s="6">
        <v>6.5972222222222213E-4</v>
      </c>
      <c r="K4" s="7">
        <v>0.61539999999999995</v>
      </c>
      <c r="L4" s="7">
        <v>0.3846</v>
      </c>
      <c r="M4" s="8">
        <v>0.13</v>
      </c>
    </row>
    <row r="5" spans="1:13" ht="16.5" customHeight="1" x14ac:dyDescent="0.3">
      <c r="A5" s="5">
        <f>SUBTOTAL(3,$B$2:B5)-1</f>
        <v>3</v>
      </c>
      <c r="B5" s="4" t="s">
        <v>17</v>
      </c>
      <c r="C5" s="5">
        <v>54</v>
      </c>
      <c r="D5" s="5">
        <f t="shared" si="0"/>
        <v>53</v>
      </c>
      <c r="E5" s="5">
        <v>1</v>
      </c>
      <c r="F5" s="6">
        <v>8.9120370370370362E-4</v>
      </c>
      <c r="G5" s="6">
        <v>2.199074074074074E-4</v>
      </c>
      <c r="H5" s="6">
        <v>3.5879629629629635E-4</v>
      </c>
      <c r="I5" s="6">
        <v>1.9444444444444442E-3</v>
      </c>
      <c r="J5" s="6">
        <v>6.5972222222222213E-4</v>
      </c>
      <c r="K5" s="7">
        <v>0.70369999999999999</v>
      </c>
      <c r="L5" s="7">
        <v>0.29630000000000001</v>
      </c>
      <c r="M5" s="8">
        <v>0.16</v>
      </c>
    </row>
    <row r="6" spans="1:13" ht="16.5" customHeight="1" x14ac:dyDescent="0.3">
      <c r="A6" s="5">
        <f>SUBTOTAL(3,$B$2:B6)-1</f>
        <v>4</v>
      </c>
      <c r="B6" s="4" t="s">
        <v>16</v>
      </c>
      <c r="C6" s="5">
        <v>27</v>
      </c>
      <c r="D6" s="5">
        <f t="shared" si="0"/>
        <v>27</v>
      </c>
      <c r="E6" s="5">
        <v>0</v>
      </c>
      <c r="F6" s="6">
        <v>5.5555555555555556E-4</v>
      </c>
      <c r="G6" s="6">
        <v>4.6296296296296294E-5</v>
      </c>
      <c r="H6" s="6">
        <v>1.6203703703703703E-4</v>
      </c>
      <c r="I6" s="6">
        <v>9.1435185185185185E-4</v>
      </c>
      <c r="J6" s="6">
        <v>5.0925925925925921E-4</v>
      </c>
      <c r="K6" s="7">
        <v>0.74070000000000003</v>
      </c>
      <c r="L6" s="7">
        <v>0.25929999999999997</v>
      </c>
      <c r="M6" s="8">
        <v>0.04</v>
      </c>
    </row>
    <row r="7" spans="1:13" ht="16.5" customHeight="1" x14ac:dyDescent="0.3">
      <c r="A7" s="5">
        <f>SUBTOTAL(3,$B$2:B7)-1</f>
        <v>5</v>
      </c>
      <c r="B7" s="4" t="s">
        <v>14</v>
      </c>
      <c r="C7" s="5">
        <v>17</v>
      </c>
      <c r="D7" s="5">
        <f t="shared" si="0"/>
        <v>17</v>
      </c>
      <c r="E7" s="5">
        <v>0</v>
      </c>
      <c r="F7" s="6">
        <v>7.0601851851851847E-4</v>
      </c>
      <c r="G7" s="6">
        <v>6.9444444444444444E-5</v>
      </c>
      <c r="H7" s="6">
        <v>1.0416666666666667E-4</v>
      </c>
      <c r="I7" s="6">
        <v>4.1666666666666669E-4</v>
      </c>
      <c r="J7" s="6">
        <v>6.3657407407407402E-4</v>
      </c>
      <c r="K7" s="7">
        <v>0.82350000000000001</v>
      </c>
      <c r="L7" s="7">
        <v>0.17649999999999999</v>
      </c>
      <c r="M7" s="8">
        <v>0.04</v>
      </c>
    </row>
    <row r="8" spans="1:13" ht="16.5" customHeight="1" x14ac:dyDescent="0.3">
      <c r="A8" s="5">
        <f>SUBTOTAL(3,$B$2:B8)-1</f>
        <v>6</v>
      </c>
      <c r="B8" s="4" t="s">
        <v>19</v>
      </c>
      <c r="C8" s="5">
        <v>32</v>
      </c>
      <c r="D8" s="5">
        <f t="shared" si="0"/>
        <v>30</v>
      </c>
      <c r="E8" s="5">
        <v>2</v>
      </c>
      <c r="F8" s="6">
        <v>9.6064814814814808E-4</v>
      </c>
      <c r="G8" s="6">
        <v>1.6203703703703703E-4</v>
      </c>
      <c r="H8" s="6">
        <v>2.0833333333333335E-4</v>
      </c>
      <c r="I8" s="6">
        <v>7.6388888888888893E-4</v>
      </c>
      <c r="J8" s="6">
        <v>7.9861111111111105E-4</v>
      </c>
      <c r="K8" s="7">
        <v>0.90620000000000001</v>
      </c>
      <c r="L8" s="7">
        <v>9.3799999999999994E-2</v>
      </c>
      <c r="M8" s="8">
        <v>0.25</v>
      </c>
    </row>
    <row r="9" spans="1:13" ht="16.5" customHeight="1" x14ac:dyDescent="0.3">
      <c r="A9" s="5">
        <f>SUBTOTAL(3,$B$2:B9)-1</f>
        <v>7</v>
      </c>
      <c r="B9" s="4" t="s">
        <v>18</v>
      </c>
      <c r="C9" s="5">
        <v>34</v>
      </c>
      <c r="D9" s="5">
        <f t="shared" si="0"/>
        <v>34</v>
      </c>
      <c r="E9" s="5">
        <v>0</v>
      </c>
      <c r="F9" s="6">
        <v>9.6064814814814808E-4</v>
      </c>
      <c r="G9" s="6">
        <v>9.2592592592592588E-5</v>
      </c>
      <c r="H9" s="6">
        <v>9.2592592592592588E-5</v>
      </c>
      <c r="I9" s="6">
        <v>1.0300925925925926E-3</v>
      </c>
      <c r="J9" s="6">
        <v>8.6805555555555551E-4</v>
      </c>
      <c r="K9" s="7">
        <v>1</v>
      </c>
      <c r="L9" s="7">
        <v>0</v>
      </c>
      <c r="M9" s="8">
        <v>0.15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4</v>
      </c>
      <c r="D10" s="5">
        <f t="shared" si="0"/>
        <v>4</v>
      </c>
      <c r="E10" s="5">
        <v>0</v>
      </c>
      <c r="F10" s="6">
        <v>8.564814814814815E-4</v>
      </c>
      <c r="G10" s="6">
        <v>3.4722222222222222E-5</v>
      </c>
      <c r="H10" s="6">
        <v>3.4722222222222222E-5</v>
      </c>
      <c r="I10" s="6">
        <v>4.6296296296296294E-5</v>
      </c>
      <c r="J10" s="6">
        <v>8.1018518518518516E-4</v>
      </c>
      <c r="K10" s="7">
        <v>1</v>
      </c>
      <c r="L10" s="7">
        <v>0</v>
      </c>
      <c r="M10" s="8">
        <v>0.04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54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0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265</v>
      </c>
      <c r="D13" s="13">
        <f>SUM(D3:D10)</f>
        <v>256</v>
      </c>
      <c r="E13" s="13">
        <f>SUM(E3:E10)</f>
        <v>9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1659-D710-4CD9-B18F-2AA4C004E675}">
  <dimension ref="A1:M13"/>
  <sheetViews>
    <sheetView workbookViewId="0">
      <selection activeCell="C3" sqref="C3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76</v>
      </c>
      <c r="D3" s="5">
        <f t="shared" ref="D3:D10" si="0">C3-E3</f>
        <v>74</v>
      </c>
      <c r="E3" s="5">
        <v>2</v>
      </c>
      <c r="F3" s="6">
        <v>1.0185185185185186E-3</v>
      </c>
      <c r="G3" s="6">
        <v>3.3564814814814812E-4</v>
      </c>
      <c r="H3" s="6">
        <v>6.9444444444444447E-4</v>
      </c>
      <c r="I3" s="6">
        <v>1.0416666666666666E-2</v>
      </c>
      <c r="J3" s="6">
        <v>6.7129629629629625E-4</v>
      </c>
      <c r="K3" s="7">
        <v>0.59209999999999996</v>
      </c>
      <c r="L3" s="7">
        <v>0.3947</v>
      </c>
      <c r="M3" s="8">
        <v>0.21</v>
      </c>
    </row>
    <row r="4" spans="1:13" ht="16.5" customHeight="1" x14ac:dyDescent="0.3">
      <c r="A4" s="5">
        <f>SUBTOTAL(3,$B$2:B4)-1</f>
        <v>2</v>
      </c>
      <c r="B4" s="4" t="s">
        <v>14</v>
      </c>
      <c r="C4" s="5">
        <v>18</v>
      </c>
      <c r="D4" s="5">
        <f t="shared" si="0"/>
        <v>18</v>
      </c>
      <c r="E4" s="5">
        <v>0</v>
      </c>
      <c r="F4" s="6">
        <v>4.8611111111111104E-4</v>
      </c>
      <c r="G4" s="6">
        <v>6.9444444444444444E-5</v>
      </c>
      <c r="H4" s="6">
        <v>2.0833333333333335E-4</v>
      </c>
      <c r="I4" s="6">
        <v>1.4351851851851854E-3</v>
      </c>
      <c r="J4" s="6">
        <v>4.1666666666666669E-4</v>
      </c>
      <c r="K4" s="7">
        <v>0.72219999999999995</v>
      </c>
      <c r="L4" s="7">
        <v>0.27779999999999999</v>
      </c>
      <c r="M4" s="8">
        <v>0.08</v>
      </c>
    </row>
    <row r="5" spans="1:13" ht="16.5" customHeight="1" x14ac:dyDescent="0.3">
      <c r="A5" s="5">
        <f>SUBTOTAL(3,$B$2:B5)-1</f>
        <v>3</v>
      </c>
      <c r="B5" s="4" t="s">
        <v>20</v>
      </c>
      <c r="C5" s="5">
        <v>48</v>
      </c>
      <c r="D5" s="5">
        <f t="shared" si="0"/>
        <v>46</v>
      </c>
      <c r="E5" s="5">
        <v>2</v>
      </c>
      <c r="F5" s="6">
        <v>7.8703703703703705E-4</v>
      </c>
      <c r="G5" s="6">
        <v>2.5462962962962961E-4</v>
      </c>
      <c r="H5" s="6">
        <v>3.5879629629629635E-4</v>
      </c>
      <c r="I5" s="6">
        <v>2.4074074074074076E-3</v>
      </c>
      <c r="J5" s="6">
        <v>5.3240740740740744E-4</v>
      </c>
      <c r="K5" s="7">
        <v>0.75</v>
      </c>
      <c r="L5" s="7">
        <v>0.25</v>
      </c>
      <c r="M5" s="8">
        <v>0.2</v>
      </c>
    </row>
    <row r="6" spans="1:13" ht="16.5" customHeight="1" x14ac:dyDescent="0.3">
      <c r="A6" s="5">
        <f>SUBTOTAL(3,$B$2:B6)-1</f>
        <v>4</v>
      </c>
      <c r="B6" s="4" t="s">
        <v>19</v>
      </c>
      <c r="C6" s="5">
        <v>18</v>
      </c>
      <c r="D6" s="5">
        <f t="shared" si="0"/>
        <v>18</v>
      </c>
      <c r="E6" s="5">
        <v>0</v>
      </c>
      <c r="F6" s="6">
        <v>9.1435185185185185E-4</v>
      </c>
      <c r="G6" s="6">
        <v>1.0416666666666667E-4</v>
      </c>
      <c r="H6" s="6">
        <v>2.0833333333333335E-4</v>
      </c>
      <c r="I6" s="6">
        <v>7.407407407407407E-4</v>
      </c>
      <c r="J6" s="6">
        <v>8.1018518518518516E-4</v>
      </c>
      <c r="K6" s="7">
        <v>0.77780000000000005</v>
      </c>
      <c r="L6" s="7">
        <v>0.22220000000000001</v>
      </c>
      <c r="M6" s="8">
        <v>0.17</v>
      </c>
    </row>
    <row r="7" spans="1:13" ht="16.5" customHeight="1" x14ac:dyDescent="0.3">
      <c r="A7" s="5">
        <f>SUBTOTAL(3,$B$2:B7)-1</f>
        <v>5</v>
      </c>
      <c r="B7" s="4" t="s">
        <v>13</v>
      </c>
      <c r="C7" s="5">
        <v>42</v>
      </c>
      <c r="D7" s="5">
        <f t="shared" si="0"/>
        <v>42</v>
      </c>
      <c r="E7" s="5">
        <v>0</v>
      </c>
      <c r="F7" s="6">
        <v>1.1342592592592591E-3</v>
      </c>
      <c r="G7" s="6">
        <v>2.3148148148148146E-4</v>
      </c>
      <c r="H7" s="6">
        <v>3.1250000000000001E-4</v>
      </c>
      <c r="I7" s="6">
        <v>2.3379629629629631E-3</v>
      </c>
      <c r="J7" s="6">
        <v>8.9120370370370362E-4</v>
      </c>
      <c r="K7" s="7">
        <v>0.85709999999999997</v>
      </c>
      <c r="L7" s="7">
        <v>0.1429</v>
      </c>
      <c r="M7" s="8">
        <v>0.11</v>
      </c>
    </row>
    <row r="8" spans="1:13" ht="16.5" customHeight="1" x14ac:dyDescent="0.3">
      <c r="A8" s="5">
        <f>SUBTOTAL(3,$B$2:B8)-1</f>
        <v>6</v>
      </c>
      <c r="B8" s="4" t="s">
        <v>16</v>
      </c>
      <c r="C8" s="5">
        <v>21</v>
      </c>
      <c r="D8" s="5">
        <f t="shared" si="0"/>
        <v>20</v>
      </c>
      <c r="E8" s="5">
        <v>1</v>
      </c>
      <c r="F8" s="6">
        <v>7.7546296296296304E-4</v>
      </c>
      <c r="G8" s="6">
        <v>6.9444444444444444E-5</v>
      </c>
      <c r="H8" s="6">
        <v>1.0416666666666667E-4</v>
      </c>
      <c r="I8" s="6">
        <v>5.5555555555555556E-4</v>
      </c>
      <c r="J8" s="6">
        <v>6.9444444444444447E-4</v>
      </c>
      <c r="K8" s="7">
        <v>0.85709999999999997</v>
      </c>
      <c r="L8" s="7">
        <v>0.1429</v>
      </c>
      <c r="M8" s="8">
        <v>0.05</v>
      </c>
    </row>
    <row r="9" spans="1:13" ht="16.5" customHeight="1" x14ac:dyDescent="0.3">
      <c r="A9" s="5">
        <f>SUBTOTAL(3,$B$2:B9)-1</f>
        <v>7</v>
      </c>
      <c r="B9" s="4" t="s">
        <v>18</v>
      </c>
      <c r="C9" s="5">
        <v>53</v>
      </c>
      <c r="D9" s="5">
        <f t="shared" si="0"/>
        <v>53</v>
      </c>
      <c r="E9" s="5">
        <v>0</v>
      </c>
      <c r="F9" s="6">
        <v>1.1226851851851851E-3</v>
      </c>
      <c r="G9" s="6">
        <v>1.273148148148148E-4</v>
      </c>
      <c r="H9" s="6">
        <v>1.6203703703703703E-4</v>
      </c>
      <c r="I9" s="6">
        <v>1.1342592592592591E-3</v>
      </c>
      <c r="J9" s="6">
        <v>9.8379629629629642E-4</v>
      </c>
      <c r="K9" s="7">
        <v>0.8679</v>
      </c>
      <c r="L9" s="7">
        <v>0.1321</v>
      </c>
      <c r="M9" s="8">
        <v>0.14000000000000001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5</v>
      </c>
      <c r="D10" s="5">
        <f t="shared" si="0"/>
        <v>5</v>
      </c>
      <c r="E10" s="5">
        <v>0</v>
      </c>
      <c r="F10" s="6">
        <v>4.3981481481481481E-4</v>
      </c>
      <c r="G10" s="6">
        <v>3.4722222222222222E-5</v>
      </c>
      <c r="H10" s="6">
        <v>3.4722222222222222E-5</v>
      </c>
      <c r="I10" s="6">
        <v>5.7870370370370366E-5</v>
      </c>
      <c r="J10" s="6">
        <v>4.0509259259259258E-4</v>
      </c>
      <c r="K10" s="7">
        <v>1</v>
      </c>
      <c r="L10" s="7">
        <v>0</v>
      </c>
      <c r="M10" s="8">
        <v>0.04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29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26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281</v>
      </c>
      <c r="D13" s="13">
        <f>SUM(D3:D10)</f>
        <v>276</v>
      </c>
      <c r="E13" s="13">
        <f>SUM(E3:E10)</f>
        <v>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2418-E0C7-41F2-A6B4-BFC0F4DC90A3}">
  <dimension ref="A1:M13"/>
  <sheetViews>
    <sheetView workbookViewId="0">
      <selection activeCell="C11" sqref="C11:E11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48</v>
      </c>
      <c r="D3" s="5">
        <f>C3-E3</f>
        <v>46</v>
      </c>
      <c r="E3" s="5">
        <v>2</v>
      </c>
      <c r="F3" s="6">
        <v>8.449074074074075E-4</v>
      </c>
      <c r="G3" s="6">
        <v>3.1250000000000001E-4</v>
      </c>
      <c r="H3" s="6">
        <v>3.5879629629629635E-4</v>
      </c>
      <c r="I3" s="6">
        <v>1.423611111111111E-3</v>
      </c>
      <c r="J3" s="6">
        <v>5.3240740740740744E-4</v>
      </c>
      <c r="K3" s="7">
        <v>0.77080000000000004</v>
      </c>
      <c r="L3" s="7">
        <v>0.22919999999999999</v>
      </c>
      <c r="M3" s="8">
        <v>0.15</v>
      </c>
    </row>
    <row r="4" spans="1:13" ht="16.5" customHeight="1" x14ac:dyDescent="0.3">
      <c r="A4" s="5">
        <f>SUBTOTAL(3,$B$2:B4)-1</f>
        <v>2</v>
      </c>
      <c r="B4" s="4" t="s">
        <v>15</v>
      </c>
      <c r="C4" s="5">
        <v>5</v>
      </c>
      <c r="D4" s="5">
        <f t="shared" ref="D4:D10" si="0">C4-E4</f>
        <v>5</v>
      </c>
      <c r="E4" s="5">
        <v>0</v>
      </c>
      <c r="F4" s="6">
        <v>9.0277777777777784E-4</v>
      </c>
      <c r="G4" s="6">
        <v>9.2592592592592588E-5</v>
      </c>
      <c r="H4" s="6">
        <v>1.7361111111111112E-4</v>
      </c>
      <c r="I4" s="6">
        <v>5.3240740740740744E-4</v>
      </c>
      <c r="J4" s="6">
        <v>8.1018518518518516E-4</v>
      </c>
      <c r="K4" s="7">
        <v>0.8</v>
      </c>
      <c r="L4" s="7">
        <v>0.2</v>
      </c>
      <c r="M4" s="8">
        <v>0.05</v>
      </c>
    </row>
    <row r="5" spans="1:13" ht="16.5" customHeight="1" x14ac:dyDescent="0.3">
      <c r="A5" s="5">
        <f>SUBTOTAL(3,$B$2:B5)-1</f>
        <v>3</v>
      </c>
      <c r="B5" s="4" t="s">
        <v>14</v>
      </c>
      <c r="C5" s="5">
        <v>29</v>
      </c>
      <c r="D5" s="5">
        <f t="shared" si="0"/>
        <v>29</v>
      </c>
      <c r="E5" s="5">
        <v>0</v>
      </c>
      <c r="F5" s="6">
        <v>7.0601851851851847E-4</v>
      </c>
      <c r="G5" s="6">
        <v>1.1574074074074073E-4</v>
      </c>
      <c r="H5" s="6">
        <v>1.5046296296296297E-4</v>
      </c>
      <c r="I5" s="6">
        <v>1.1921296296296296E-3</v>
      </c>
      <c r="J5" s="6">
        <v>5.7870370370370378E-4</v>
      </c>
      <c r="K5" s="7">
        <v>0.8276</v>
      </c>
      <c r="L5" s="7">
        <v>0.1724</v>
      </c>
      <c r="M5" s="8">
        <v>0.08</v>
      </c>
    </row>
    <row r="6" spans="1:13" ht="16.5" customHeight="1" x14ac:dyDescent="0.3">
      <c r="A6" s="5">
        <f>SUBTOTAL(3,$B$2:B6)-1</f>
        <v>4</v>
      </c>
      <c r="B6" s="4" t="s">
        <v>17</v>
      </c>
      <c r="C6" s="5">
        <v>65</v>
      </c>
      <c r="D6" s="5">
        <f t="shared" si="0"/>
        <v>61</v>
      </c>
      <c r="E6" s="5">
        <v>4</v>
      </c>
      <c r="F6" s="6">
        <v>9.2592592592592585E-4</v>
      </c>
      <c r="G6" s="6">
        <v>1.5046296296296297E-4</v>
      </c>
      <c r="H6" s="6">
        <v>2.4305555555555552E-4</v>
      </c>
      <c r="I6" s="6">
        <v>1.4351851851851854E-3</v>
      </c>
      <c r="J6" s="6">
        <v>7.6388888888888893E-4</v>
      </c>
      <c r="K6" s="7">
        <v>0.83079999999999998</v>
      </c>
      <c r="L6" s="7">
        <v>0.16919999999999999</v>
      </c>
      <c r="M6" s="8">
        <v>0.2</v>
      </c>
    </row>
    <row r="7" spans="1:13" ht="16.5" customHeight="1" x14ac:dyDescent="0.3">
      <c r="A7" s="5">
        <f>SUBTOTAL(3,$B$2:B7)-1</f>
        <v>5</v>
      </c>
      <c r="B7" s="4" t="s">
        <v>19</v>
      </c>
      <c r="C7" s="5">
        <v>20</v>
      </c>
      <c r="D7" s="5">
        <f t="shared" si="0"/>
        <v>19</v>
      </c>
      <c r="E7" s="5">
        <v>1</v>
      </c>
      <c r="F7" s="6">
        <v>8.449074074074075E-4</v>
      </c>
      <c r="G7" s="6">
        <v>9.2592592592592588E-5</v>
      </c>
      <c r="H7" s="6">
        <v>1.6203703703703703E-4</v>
      </c>
      <c r="I7" s="6">
        <v>7.6388888888888893E-4</v>
      </c>
      <c r="J7" s="6">
        <v>7.407407407407407E-4</v>
      </c>
      <c r="K7" s="7">
        <v>0.85</v>
      </c>
      <c r="L7" s="7">
        <v>0.15</v>
      </c>
      <c r="M7" s="8">
        <v>0.19</v>
      </c>
    </row>
    <row r="8" spans="1:13" ht="16.5" customHeight="1" x14ac:dyDescent="0.3">
      <c r="A8" s="5">
        <f>SUBTOTAL(3,$B$2:B8)-1</f>
        <v>6</v>
      </c>
      <c r="B8" s="4" t="s">
        <v>13</v>
      </c>
      <c r="C8" s="5">
        <v>33</v>
      </c>
      <c r="D8" s="5">
        <f t="shared" si="0"/>
        <v>31</v>
      </c>
      <c r="E8" s="5">
        <v>2</v>
      </c>
      <c r="F8" s="6">
        <v>7.5231481481481471E-4</v>
      </c>
      <c r="G8" s="6">
        <v>1.1574074074074073E-4</v>
      </c>
      <c r="H8" s="6">
        <v>1.273148148148148E-4</v>
      </c>
      <c r="I8" s="6">
        <v>6.134259259259259E-4</v>
      </c>
      <c r="J8" s="6">
        <v>6.3657407407407402E-4</v>
      </c>
      <c r="K8" s="7">
        <v>0.93940000000000001</v>
      </c>
      <c r="L8" s="7">
        <v>6.0600000000000001E-2</v>
      </c>
      <c r="M8" s="8">
        <v>0.11</v>
      </c>
    </row>
    <row r="9" spans="1:13" ht="16.5" customHeight="1" x14ac:dyDescent="0.3">
      <c r="A9" s="5">
        <f>SUBTOTAL(3,$B$2:B9)-1</f>
        <v>7</v>
      </c>
      <c r="B9" s="4" t="s">
        <v>18</v>
      </c>
      <c r="C9" s="5">
        <v>39</v>
      </c>
      <c r="D9" s="5">
        <f t="shared" si="0"/>
        <v>39</v>
      </c>
      <c r="E9" s="5">
        <v>0</v>
      </c>
      <c r="F9" s="6">
        <v>9.0277777777777784E-4</v>
      </c>
      <c r="G9" s="6">
        <v>5.7870370370370366E-5</v>
      </c>
      <c r="H9" s="6">
        <v>5.7870370370370366E-5</v>
      </c>
      <c r="I9" s="6">
        <v>2.6620370370370372E-4</v>
      </c>
      <c r="J9" s="6">
        <v>8.3333333333333339E-4</v>
      </c>
      <c r="K9" s="7">
        <v>1</v>
      </c>
      <c r="L9" s="7">
        <v>0</v>
      </c>
      <c r="M9" s="8">
        <v>0.16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24</v>
      </c>
      <c r="D10" s="5">
        <f t="shared" si="0"/>
        <v>24</v>
      </c>
      <c r="E10" s="5">
        <v>0</v>
      </c>
      <c r="F10" s="6">
        <v>6.3657407407407402E-4</v>
      </c>
      <c r="G10" s="6">
        <v>5.7870370370370366E-5</v>
      </c>
      <c r="H10" s="6">
        <v>5.7870370370370366E-5</v>
      </c>
      <c r="I10" s="6">
        <v>3.7037037037037035E-4</v>
      </c>
      <c r="J10" s="6">
        <v>5.7870370370370378E-4</v>
      </c>
      <c r="K10" s="7">
        <v>1</v>
      </c>
      <c r="L10" s="7">
        <v>0</v>
      </c>
      <c r="M10" s="8">
        <v>0.06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39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13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263</v>
      </c>
      <c r="D13" s="13">
        <f>SUM(D3:D10)</f>
        <v>254</v>
      </c>
      <c r="E13" s="13">
        <f>SUM(E3:E10)</f>
        <v>9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1CC7-E874-4011-B794-A1ED382FE04D}">
  <dimension ref="A1:M13"/>
  <sheetViews>
    <sheetView workbookViewId="0">
      <selection activeCell="B3" sqref="B3:E10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57</v>
      </c>
      <c r="D3" s="5">
        <f>C3-E3</f>
        <v>52</v>
      </c>
      <c r="E3" s="5">
        <v>5</v>
      </c>
      <c r="F3" s="6">
        <v>1.0185185185185186E-3</v>
      </c>
      <c r="G3" s="6">
        <v>2.8935185185185189E-4</v>
      </c>
      <c r="H3" s="6">
        <v>4.6296296296296293E-4</v>
      </c>
      <c r="I3" s="6">
        <v>4.3749999999999995E-3</v>
      </c>
      <c r="J3" s="6">
        <v>7.291666666666667E-4</v>
      </c>
      <c r="K3" s="7">
        <v>0.68420000000000003</v>
      </c>
      <c r="L3" s="7">
        <v>0.31580000000000003</v>
      </c>
      <c r="M3" s="8">
        <v>0.14000000000000001</v>
      </c>
    </row>
    <row r="4" spans="1:13" ht="16.5" customHeight="1" x14ac:dyDescent="0.3">
      <c r="A4" s="5">
        <f>SUBTOTAL(3,$B$2:B4)-1</f>
        <v>2</v>
      </c>
      <c r="B4" s="4" t="s">
        <v>13</v>
      </c>
      <c r="C4" s="5">
        <v>60</v>
      </c>
      <c r="D4" s="5">
        <f t="shared" ref="D4:D10" si="0">C4-E4</f>
        <v>52</v>
      </c>
      <c r="E4" s="5">
        <v>8</v>
      </c>
      <c r="F4" s="6">
        <v>9.0277777777777784E-4</v>
      </c>
      <c r="G4" s="6">
        <v>1.7361111111111112E-4</v>
      </c>
      <c r="H4" s="6">
        <v>3.8194444444444446E-4</v>
      </c>
      <c r="I4" s="6">
        <v>3.7268518518518514E-3</v>
      </c>
      <c r="J4" s="6">
        <v>7.291666666666667E-4</v>
      </c>
      <c r="K4" s="7">
        <v>0.7167</v>
      </c>
      <c r="L4" s="7">
        <v>0.2833</v>
      </c>
      <c r="M4" s="8">
        <v>0.17</v>
      </c>
    </row>
    <row r="5" spans="1:13" ht="16.5" customHeight="1" x14ac:dyDescent="0.3">
      <c r="A5" s="5">
        <f>SUBTOTAL(3,$B$2:B5)-1</f>
        <v>3</v>
      </c>
      <c r="B5" s="4" t="s">
        <v>19</v>
      </c>
      <c r="C5" s="5">
        <v>30</v>
      </c>
      <c r="D5" s="5">
        <f t="shared" si="0"/>
        <v>29</v>
      </c>
      <c r="E5" s="5">
        <v>1</v>
      </c>
      <c r="F5" s="6">
        <v>8.1018518518518516E-4</v>
      </c>
      <c r="G5" s="6">
        <v>1.0416666666666667E-4</v>
      </c>
      <c r="H5" s="6">
        <v>2.0833333333333335E-4</v>
      </c>
      <c r="I5" s="6">
        <v>1.1921296296296296E-3</v>
      </c>
      <c r="J5" s="6">
        <v>7.0601851851851847E-4</v>
      </c>
      <c r="K5" s="7">
        <v>0.8</v>
      </c>
      <c r="L5" s="7">
        <v>0.2</v>
      </c>
      <c r="M5" s="8">
        <v>0.16</v>
      </c>
    </row>
    <row r="6" spans="1:13" ht="16.5" customHeight="1" x14ac:dyDescent="0.3">
      <c r="A6" s="5">
        <f>SUBTOTAL(3,$B$2:B6)-1</f>
        <v>4</v>
      </c>
      <c r="B6" s="4" t="s">
        <v>14</v>
      </c>
      <c r="C6" s="5">
        <v>28</v>
      </c>
      <c r="D6" s="5">
        <f t="shared" si="0"/>
        <v>28</v>
      </c>
      <c r="E6" s="5">
        <v>0</v>
      </c>
      <c r="F6" s="6">
        <v>7.0601851851851847E-4</v>
      </c>
      <c r="G6" s="6">
        <v>5.7870370370370366E-5</v>
      </c>
      <c r="H6" s="6">
        <v>1.1574074074074073E-4</v>
      </c>
      <c r="I6" s="6">
        <v>7.9861111111111105E-4</v>
      </c>
      <c r="J6" s="6">
        <v>6.4814814814814813E-4</v>
      </c>
      <c r="K6" s="7">
        <v>0.85709999999999997</v>
      </c>
      <c r="L6" s="7">
        <v>0.1429</v>
      </c>
      <c r="M6" s="8">
        <v>0.05</v>
      </c>
    </row>
    <row r="7" spans="1:13" ht="16.5" customHeight="1" x14ac:dyDescent="0.3">
      <c r="A7" s="5">
        <f>SUBTOTAL(3,$B$2:B7)-1</f>
        <v>5</v>
      </c>
      <c r="B7" s="4" t="s">
        <v>15</v>
      </c>
      <c r="C7" s="5">
        <v>14</v>
      </c>
      <c r="D7" s="5">
        <f t="shared" si="0"/>
        <v>14</v>
      </c>
      <c r="E7" s="5">
        <v>0</v>
      </c>
      <c r="F7" s="6">
        <v>7.407407407407407E-4</v>
      </c>
      <c r="G7" s="6">
        <v>9.2592592592592588E-5</v>
      </c>
      <c r="H7" s="6">
        <v>1.1574074074074073E-4</v>
      </c>
      <c r="I7" s="6">
        <v>5.0925925925925921E-4</v>
      </c>
      <c r="J7" s="6">
        <v>6.4814814814814813E-4</v>
      </c>
      <c r="K7" s="7">
        <v>0.85709999999999997</v>
      </c>
      <c r="L7" s="7">
        <v>0.1429</v>
      </c>
      <c r="M7" s="8">
        <v>0.06</v>
      </c>
    </row>
    <row r="8" spans="1:13" ht="16.5" customHeight="1" x14ac:dyDescent="0.3">
      <c r="A8" s="5">
        <f>SUBTOTAL(3,$B$2:B8)-1</f>
        <v>6</v>
      </c>
      <c r="B8" s="4" t="s">
        <v>17</v>
      </c>
      <c r="C8" s="5">
        <v>90</v>
      </c>
      <c r="D8" s="5">
        <f t="shared" si="0"/>
        <v>90</v>
      </c>
      <c r="E8" s="5">
        <v>0</v>
      </c>
      <c r="F8" s="6">
        <v>9.4907407407407408E-4</v>
      </c>
      <c r="G8" s="6">
        <v>2.199074074074074E-4</v>
      </c>
      <c r="H8" s="6">
        <v>2.5462962962962961E-4</v>
      </c>
      <c r="I8" s="6">
        <v>1.0763888888888889E-3</v>
      </c>
      <c r="J8" s="6">
        <v>7.291666666666667E-4</v>
      </c>
      <c r="K8" s="7">
        <v>0.88890000000000002</v>
      </c>
      <c r="L8" s="7">
        <v>0.1111</v>
      </c>
      <c r="M8" s="8">
        <v>0.22</v>
      </c>
    </row>
    <row r="9" spans="1:13" ht="16.5" customHeight="1" x14ac:dyDescent="0.3">
      <c r="A9" s="5">
        <f>SUBTOTAL(3,$B$2:B9)-1</f>
        <v>7</v>
      </c>
      <c r="B9" s="4" t="s">
        <v>18</v>
      </c>
      <c r="C9" s="5">
        <v>53</v>
      </c>
      <c r="D9" s="5">
        <f t="shared" si="0"/>
        <v>52</v>
      </c>
      <c r="E9" s="5">
        <v>1</v>
      </c>
      <c r="F9" s="6">
        <v>9.8379629629629642E-4</v>
      </c>
      <c r="G9" s="6">
        <v>8.1018518518518516E-5</v>
      </c>
      <c r="H9" s="6">
        <v>1.0416666666666667E-4</v>
      </c>
      <c r="I9" s="6">
        <v>7.407407407407407E-4</v>
      </c>
      <c r="J9" s="6">
        <v>8.9120370370370362E-4</v>
      </c>
      <c r="K9" s="7">
        <v>0.94340000000000002</v>
      </c>
      <c r="L9" s="7">
        <v>5.6599999999999998E-2</v>
      </c>
      <c r="M9" s="8">
        <v>0.14000000000000001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25</v>
      </c>
      <c r="D10" s="5">
        <f t="shared" si="0"/>
        <v>25</v>
      </c>
      <c r="E10" s="5">
        <v>0</v>
      </c>
      <c r="F10" s="6">
        <v>7.0601851851851847E-4</v>
      </c>
      <c r="G10" s="6">
        <v>6.9444444444444444E-5</v>
      </c>
      <c r="H10" s="6">
        <v>8.1018518518518516E-5</v>
      </c>
      <c r="I10" s="6">
        <v>4.7453703703703704E-4</v>
      </c>
      <c r="J10" s="6">
        <v>6.2500000000000001E-4</v>
      </c>
      <c r="K10" s="7">
        <v>0.96</v>
      </c>
      <c r="L10" s="7">
        <v>0.04</v>
      </c>
      <c r="M10" s="8">
        <v>0.06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37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35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357</v>
      </c>
      <c r="D13" s="13">
        <f>SUM(D3:D10)</f>
        <v>342</v>
      </c>
      <c r="E13" s="13">
        <f>SUM(E3:E10)</f>
        <v>15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B095-7E1E-4BBE-AE31-FEDD860BE09E}">
  <dimension ref="A1:M13"/>
  <sheetViews>
    <sheetView workbookViewId="0">
      <selection activeCell="B3" sqref="B3:E10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91</v>
      </c>
      <c r="D3" s="5">
        <v>66</v>
      </c>
      <c r="E3" s="5">
        <v>4</v>
      </c>
      <c r="F3" s="6">
        <v>7.6388888888888893E-4</v>
      </c>
      <c r="G3" s="6">
        <v>1.3888888888888889E-4</v>
      </c>
      <c r="H3" s="6">
        <v>2.5462962962962961E-4</v>
      </c>
      <c r="I3" s="6">
        <v>1.0532407407407407E-3</v>
      </c>
      <c r="J3" s="6">
        <v>6.134259259259259E-4</v>
      </c>
      <c r="K3" s="7">
        <v>0.72529999999999994</v>
      </c>
      <c r="L3" s="7">
        <v>0.2747</v>
      </c>
      <c r="M3" s="8">
        <v>0.24</v>
      </c>
    </row>
    <row r="4" spans="1:13" ht="16.5" customHeight="1" x14ac:dyDescent="0.3">
      <c r="A4" s="5">
        <f>SUBTOTAL(3,$B$2:B4)-1</f>
        <v>2</v>
      </c>
      <c r="B4" s="4" t="s">
        <v>14</v>
      </c>
      <c r="C4" s="5">
        <v>45</v>
      </c>
      <c r="D4" s="5">
        <v>36</v>
      </c>
      <c r="E4" s="5">
        <v>3</v>
      </c>
      <c r="F4" s="6">
        <v>7.0601851851851847E-4</v>
      </c>
      <c r="G4" s="6">
        <v>9.2592592592592588E-5</v>
      </c>
      <c r="H4" s="6">
        <v>1.6203703703703703E-4</v>
      </c>
      <c r="I4" s="6">
        <v>1.3425925925925925E-3</v>
      </c>
      <c r="J4" s="6">
        <v>6.134259259259259E-4</v>
      </c>
      <c r="K4" s="7">
        <v>0.8</v>
      </c>
      <c r="L4" s="7">
        <v>0.2</v>
      </c>
      <c r="M4" s="8">
        <v>0.05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71</v>
      </c>
      <c r="D5" s="5">
        <v>59</v>
      </c>
      <c r="E5" s="5">
        <v>2</v>
      </c>
      <c r="F5" s="6">
        <v>1.0300925925925926E-3</v>
      </c>
      <c r="G5" s="6">
        <v>2.6620370370370372E-4</v>
      </c>
      <c r="H5" s="6">
        <v>3.1250000000000001E-4</v>
      </c>
      <c r="I5" s="6">
        <v>1.4699074074074074E-3</v>
      </c>
      <c r="J5" s="6">
        <v>7.5231481481481471E-4</v>
      </c>
      <c r="K5" s="7">
        <v>0.83099999999999996</v>
      </c>
      <c r="L5" s="7">
        <v>0.16900000000000001</v>
      </c>
      <c r="M5" s="8">
        <v>0.13</v>
      </c>
    </row>
    <row r="6" spans="1:13" ht="16.5" customHeight="1" x14ac:dyDescent="0.3">
      <c r="A6" s="5">
        <f>SUBTOTAL(3,$B$2:B6)-1</f>
        <v>4</v>
      </c>
      <c r="B6" s="4" t="s">
        <v>19</v>
      </c>
      <c r="C6" s="5">
        <v>29</v>
      </c>
      <c r="D6" s="5">
        <v>25</v>
      </c>
      <c r="E6" s="5">
        <v>2</v>
      </c>
      <c r="F6" s="6">
        <v>8.9120370370370362E-4</v>
      </c>
      <c r="G6" s="6">
        <v>2.0833333333333335E-4</v>
      </c>
      <c r="H6" s="6">
        <v>2.8935185185185189E-4</v>
      </c>
      <c r="I6" s="6">
        <v>1.4930555555555556E-3</v>
      </c>
      <c r="J6" s="6">
        <v>6.8287037037037025E-4</v>
      </c>
      <c r="K6" s="7">
        <v>0.86209999999999998</v>
      </c>
      <c r="L6" s="7">
        <v>0.13789999999999999</v>
      </c>
      <c r="M6" s="8">
        <v>0.19</v>
      </c>
    </row>
    <row r="7" spans="1:13" ht="16.5" customHeight="1" x14ac:dyDescent="0.3">
      <c r="A7" s="5">
        <f>SUBTOTAL(3,$B$2:B7)-1</f>
        <v>5</v>
      </c>
      <c r="B7" s="4" t="s">
        <v>16</v>
      </c>
      <c r="C7" s="5">
        <v>55</v>
      </c>
      <c r="D7" s="5">
        <v>49</v>
      </c>
      <c r="E7" s="5">
        <v>0</v>
      </c>
      <c r="F7" s="6">
        <v>6.8287037037037025E-4</v>
      </c>
      <c r="G7" s="6">
        <v>8.1018518518518516E-5</v>
      </c>
      <c r="H7" s="6">
        <v>1.0416666666666667E-4</v>
      </c>
      <c r="I7" s="6">
        <v>6.7129629629629625E-4</v>
      </c>
      <c r="J7" s="6">
        <v>6.018518518518519E-4</v>
      </c>
      <c r="K7" s="7">
        <v>0.89090000000000003</v>
      </c>
      <c r="L7" s="7">
        <v>0.1091</v>
      </c>
      <c r="M7" s="8">
        <v>7.0000000000000007E-2</v>
      </c>
    </row>
    <row r="8" spans="1:13" ht="16.5" customHeight="1" x14ac:dyDescent="0.3">
      <c r="A8" s="5">
        <f>SUBTOTAL(3,$B$2:B8)-1</f>
        <v>6</v>
      </c>
      <c r="B8" s="4" t="s">
        <v>17</v>
      </c>
      <c r="C8" s="5">
        <v>83</v>
      </c>
      <c r="D8" s="5">
        <v>76</v>
      </c>
      <c r="E8" s="5">
        <v>0</v>
      </c>
      <c r="F8" s="6">
        <v>9.1435185185185185E-4</v>
      </c>
      <c r="G8" s="6">
        <v>1.3888888888888889E-4</v>
      </c>
      <c r="H8" s="6">
        <v>1.5046296296296297E-4</v>
      </c>
      <c r="I8" s="6">
        <v>9.6064814814814808E-4</v>
      </c>
      <c r="J8" s="6">
        <v>7.6388888888888893E-4</v>
      </c>
      <c r="K8" s="7">
        <v>0.91569999999999996</v>
      </c>
      <c r="L8" s="7">
        <v>8.43E-2</v>
      </c>
      <c r="M8" s="8">
        <v>0.15</v>
      </c>
    </row>
    <row r="9" spans="1:13" ht="16.5" customHeight="1" x14ac:dyDescent="0.3">
      <c r="A9" s="5">
        <f>SUBTOTAL(3,$B$2:B9)-1</f>
        <v>7</v>
      </c>
      <c r="B9" s="4" t="s">
        <v>18</v>
      </c>
      <c r="C9" s="5">
        <v>53</v>
      </c>
      <c r="D9" s="5">
        <v>50</v>
      </c>
      <c r="E9" s="5">
        <v>0</v>
      </c>
      <c r="F9" s="6">
        <v>1.0416666666666667E-3</v>
      </c>
      <c r="G9" s="6">
        <v>9.2592592592592588E-5</v>
      </c>
      <c r="H9" s="6">
        <v>9.2592592592592588E-5</v>
      </c>
      <c r="I9" s="6">
        <v>7.5231481481481471E-4</v>
      </c>
      <c r="J9" s="6">
        <v>9.4907407407407408E-4</v>
      </c>
      <c r="K9" s="7">
        <v>0.94340000000000002</v>
      </c>
      <c r="L9" s="7">
        <v>5.6599999999999998E-2</v>
      </c>
      <c r="M9" s="8">
        <v>0.14000000000000001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4</v>
      </c>
      <c r="D10" s="5">
        <v>4</v>
      </c>
      <c r="E10" s="5">
        <v>0</v>
      </c>
      <c r="F10" s="6">
        <v>4.8611111111111104E-4</v>
      </c>
      <c r="G10" s="6">
        <v>3.4722222222222222E-5</v>
      </c>
      <c r="H10" s="6">
        <v>3.4722222222222222E-5</v>
      </c>
      <c r="I10" s="6">
        <v>4.6296296296296294E-5</v>
      </c>
      <c r="J10" s="6">
        <v>4.3981481481481481E-4</v>
      </c>
      <c r="K10" s="7">
        <v>1</v>
      </c>
      <c r="L10" s="7">
        <v>0</v>
      </c>
      <c r="M10" s="8">
        <v>0.03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41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46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431</v>
      </c>
      <c r="D13" s="13">
        <f>SUM(D3:D10)</f>
        <v>365</v>
      </c>
      <c r="E13" s="13">
        <f>SUM(E3:E10)</f>
        <v>11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E727-F2F4-4FBF-90D8-72C6746FD7F6}">
  <dimension ref="A1:M13"/>
  <sheetViews>
    <sheetView workbookViewId="0">
      <selection activeCell="M18" sqref="M18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90</v>
      </c>
      <c r="D3" s="5">
        <f t="shared" ref="D3:D10" si="0">C3-E3</f>
        <v>88</v>
      </c>
      <c r="E3" s="5">
        <v>2</v>
      </c>
      <c r="F3" s="6">
        <v>1.0532407407407407E-3</v>
      </c>
      <c r="G3" s="6">
        <v>3.1250000000000001E-4</v>
      </c>
      <c r="H3" s="6">
        <v>4.2824074074074075E-4</v>
      </c>
      <c r="I3" s="6">
        <v>1.9560185185185184E-3</v>
      </c>
      <c r="J3" s="6">
        <v>7.291666666666667E-4</v>
      </c>
      <c r="K3" s="7">
        <v>0.58889999999999998</v>
      </c>
      <c r="L3" s="7">
        <v>0.41110000000000002</v>
      </c>
      <c r="M3" s="8">
        <v>0.23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44</v>
      </c>
      <c r="D4" s="5">
        <f t="shared" si="0"/>
        <v>42</v>
      </c>
      <c r="E4" s="5">
        <v>2</v>
      </c>
      <c r="F4" s="6">
        <v>9.1435185185185185E-4</v>
      </c>
      <c r="G4" s="6">
        <v>2.6620370370370372E-4</v>
      </c>
      <c r="H4" s="6">
        <v>3.8194444444444446E-4</v>
      </c>
      <c r="I4" s="6">
        <v>1.6203703703703703E-3</v>
      </c>
      <c r="J4" s="6">
        <v>6.3657407407407402E-4</v>
      </c>
      <c r="K4" s="7">
        <v>0.72729999999999995</v>
      </c>
      <c r="L4" s="7">
        <v>0.2727</v>
      </c>
      <c r="M4" s="8">
        <v>0.18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73</v>
      </c>
      <c r="D5" s="5">
        <f t="shared" si="0"/>
        <v>71</v>
      </c>
      <c r="E5" s="5">
        <v>2</v>
      </c>
      <c r="F5" s="6">
        <v>8.7962962962962962E-4</v>
      </c>
      <c r="G5" s="6">
        <v>2.4305555555555552E-4</v>
      </c>
      <c r="H5" s="6">
        <v>4.3981481481481481E-4</v>
      </c>
      <c r="I5" s="6">
        <v>2.4421296296296296E-3</v>
      </c>
      <c r="J5" s="6">
        <v>6.3657407407407402E-4</v>
      </c>
      <c r="K5" s="7">
        <v>0.7671</v>
      </c>
      <c r="L5" s="7">
        <v>0.2329</v>
      </c>
      <c r="M5" s="8">
        <v>0.12</v>
      </c>
    </row>
    <row r="6" spans="1:13" ht="16.5" customHeight="1" x14ac:dyDescent="0.3">
      <c r="A6" s="5">
        <f>SUBTOTAL(3,$B$2:B6)-1</f>
        <v>4</v>
      </c>
      <c r="B6" s="4" t="s">
        <v>17</v>
      </c>
      <c r="C6" s="5">
        <v>78</v>
      </c>
      <c r="D6" s="5">
        <f t="shared" si="0"/>
        <v>76</v>
      </c>
      <c r="E6" s="5">
        <v>2</v>
      </c>
      <c r="F6" s="6">
        <v>9.1435185185185185E-4</v>
      </c>
      <c r="G6" s="6">
        <v>1.8518518518518518E-4</v>
      </c>
      <c r="H6" s="6">
        <v>2.7777777777777778E-4</v>
      </c>
      <c r="I6" s="6">
        <v>2.9745370370370373E-3</v>
      </c>
      <c r="J6" s="6">
        <v>7.175925925925927E-4</v>
      </c>
      <c r="K6" s="7">
        <v>0.84619999999999995</v>
      </c>
      <c r="L6" s="7">
        <v>0.15379999999999999</v>
      </c>
      <c r="M6" s="8">
        <v>0.18</v>
      </c>
    </row>
    <row r="7" spans="1:13" ht="16.5" customHeight="1" x14ac:dyDescent="0.3">
      <c r="A7" s="5">
        <f>SUBTOTAL(3,$B$2:B7)-1</f>
        <v>5</v>
      </c>
      <c r="B7" s="4" t="s">
        <v>16</v>
      </c>
      <c r="C7" s="5">
        <v>44</v>
      </c>
      <c r="D7" s="5">
        <f t="shared" si="0"/>
        <v>44</v>
      </c>
      <c r="E7" s="5">
        <v>0</v>
      </c>
      <c r="F7" s="6">
        <v>7.291666666666667E-4</v>
      </c>
      <c r="G7" s="6">
        <v>6.9444444444444444E-5</v>
      </c>
      <c r="H7" s="6">
        <v>1.1574074074074073E-4</v>
      </c>
      <c r="I7" s="6">
        <v>7.291666666666667E-4</v>
      </c>
      <c r="J7" s="6">
        <v>6.4814814814814813E-4</v>
      </c>
      <c r="K7" s="7">
        <v>0.88639999999999997</v>
      </c>
      <c r="L7" s="7">
        <v>0.11360000000000001</v>
      </c>
      <c r="M7" s="8">
        <v>7.0000000000000007E-2</v>
      </c>
    </row>
    <row r="8" spans="1:13" ht="16.5" customHeight="1" x14ac:dyDescent="0.3">
      <c r="A8" s="5">
        <f>SUBTOTAL(3,$B$2:B8)-1</f>
        <v>6</v>
      </c>
      <c r="B8" s="4" t="s">
        <v>14</v>
      </c>
      <c r="C8" s="5">
        <v>26</v>
      </c>
      <c r="D8" s="5">
        <f t="shared" si="0"/>
        <v>26</v>
      </c>
      <c r="E8" s="5">
        <v>0</v>
      </c>
      <c r="F8" s="6">
        <v>7.9861111111111105E-4</v>
      </c>
      <c r="G8" s="6">
        <v>1.5046296296296297E-4</v>
      </c>
      <c r="H8" s="6">
        <v>1.3888888888888889E-4</v>
      </c>
      <c r="I8" s="6">
        <v>1.2384259259259258E-3</v>
      </c>
      <c r="J8" s="6">
        <v>6.4814814814814813E-4</v>
      </c>
      <c r="K8" s="7">
        <v>0.92310000000000003</v>
      </c>
      <c r="L8" s="7">
        <v>7.6899999999999996E-2</v>
      </c>
      <c r="M8" s="8">
        <v>0.06</v>
      </c>
    </row>
    <row r="9" spans="1:13" ht="16.5" customHeight="1" x14ac:dyDescent="0.3">
      <c r="A9" s="5">
        <f>SUBTOTAL(3,$B$2:B9)-1</f>
        <v>7</v>
      </c>
      <c r="B9" s="4" t="s">
        <v>15</v>
      </c>
      <c r="C9" s="5">
        <v>13</v>
      </c>
      <c r="D9" s="5">
        <f t="shared" si="0"/>
        <v>13</v>
      </c>
      <c r="E9" s="5">
        <v>0</v>
      </c>
      <c r="F9" s="6">
        <v>7.407407407407407E-4</v>
      </c>
      <c r="G9" s="6">
        <v>1.273148148148148E-4</v>
      </c>
      <c r="H9" s="6">
        <v>1.5046296296296297E-4</v>
      </c>
      <c r="I9" s="6">
        <v>4.2824074074074075E-4</v>
      </c>
      <c r="J9" s="6">
        <v>6.134259259259259E-4</v>
      </c>
      <c r="K9" s="7">
        <v>0.92310000000000003</v>
      </c>
      <c r="L9" s="7">
        <v>7.6899999999999996E-2</v>
      </c>
      <c r="M9" s="8">
        <v>0.03</v>
      </c>
    </row>
    <row r="10" spans="1:13" ht="16.5" customHeight="1" x14ac:dyDescent="0.3">
      <c r="A10" s="5">
        <f>SUBTOTAL(3,$B$2:B10)-1</f>
        <v>8</v>
      </c>
      <c r="B10" s="4" t="s">
        <v>18</v>
      </c>
      <c r="C10" s="5">
        <v>49</v>
      </c>
      <c r="D10" s="5">
        <f t="shared" si="0"/>
        <v>49</v>
      </c>
      <c r="E10" s="5">
        <v>0</v>
      </c>
      <c r="F10" s="6">
        <v>8.1018518518518516E-4</v>
      </c>
      <c r="G10" s="6">
        <v>5.7870370370370366E-5</v>
      </c>
      <c r="H10" s="6">
        <v>5.7870370370370366E-5</v>
      </c>
      <c r="I10" s="6">
        <v>6.134259259259259E-4</v>
      </c>
      <c r="J10" s="6">
        <v>7.407407407407407E-4</v>
      </c>
      <c r="K10" s="7">
        <v>1</v>
      </c>
      <c r="L10" s="7">
        <v>0</v>
      </c>
      <c r="M10" s="8">
        <v>0.13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53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31</v>
      </c>
      <c r="C12" s="16">
        <v>32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417</v>
      </c>
      <c r="D13" s="13">
        <f>SUM(D3:D10)</f>
        <v>409</v>
      </c>
      <c r="E13" s="13">
        <f>SUM(E3:E10)</f>
        <v>8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B0DF-F370-4401-81CF-08CC7062B34F}">
  <dimension ref="A1:M13"/>
  <sheetViews>
    <sheetView workbookViewId="0">
      <selection activeCell="G10" sqref="G10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90</v>
      </c>
      <c r="D3" s="5">
        <f>C3-E3</f>
        <v>84</v>
      </c>
      <c r="E3" s="5">
        <v>6</v>
      </c>
      <c r="F3" s="6">
        <v>6.9444444444444447E-4</v>
      </c>
      <c r="G3" s="6">
        <v>1.7361111111111112E-4</v>
      </c>
      <c r="H3" s="6">
        <v>3.4722222222222224E-4</v>
      </c>
      <c r="I3" s="6">
        <v>1.8518518518518517E-3</v>
      </c>
      <c r="J3" s="6">
        <v>5.2083333333333333E-4</v>
      </c>
      <c r="K3" s="7">
        <v>0.73329999999999995</v>
      </c>
      <c r="L3" s="7">
        <v>0.26669999999999999</v>
      </c>
      <c r="M3" s="8">
        <v>0.27</v>
      </c>
    </row>
    <row r="4" spans="1:13" ht="16.5" customHeight="1" x14ac:dyDescent="0.3">
      <c r="A4" s="5">
        <f>SUBTOTAL(3,$B$2:B4)-1</f>
        <v>2</v>
      </c>
      <c r="B4" s="4" t="s">
        <v>18</v>
      </c>
      <c r="C4" s="5">
        <v>53</v>
      </c>
      <c r="D4" s="5">
        <f t="shared" ref="D4:D10" si="0">C4-E4</f>
        <v>51</v>
      </c>
      <c r="E4" s="5">
        <v>2</v>
      </c>
      <c r="F4" s="6">
        <v>7.5231481481481471E-4</v>
      </c>
      <c r="G4" s="6">
        <v>1.273148148148148E-4</v>
      </c>
      <c r="H4" s="6">
        <v>1.7361111111111112E-4</v>
      </c>
      <c r="I4" s="6">
        <v>8.7962962962962962E-4</v>
      </c>
      <c r="J4" s="6">
        <v>6.2500000000000001E-4</v>
      </c>
      <c r="K4" s="7">
        <v>0.84909999999999997</v>
      </c>
      <c r="L4" s="7">
        <v>0.15090000000000001</v>
      </c>
      <c r="M4" s="8">
        <v>0.16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45</v>
      </c>
      <c r="D5" s="5">
        <f t="shared" si="0"/>
        <v>43</v>
      </c>
      <c r="E5" s="5">
        <v>2</v>
      </c>
      <c r="F5" s="6">
        <v>7.407407407407407E-4</v>
      </c>
      <c r="G5" s="6">
        <v>1.273148148148148E-4</v>
      </c>
      <c r="H5" s="6">
        <v>1.6203703703703703E-4</v>
      </c>
      <c r="I5" s="6">
        <v>7.8703703703703705E-4</v>
      </c>
      <c r="J5" s="6">
        <v>6.018518518518519E-4</v>
      </c>
      <c r="K5" s="7">
        <v>0.86670000000000003</v>
      </c>
      <c r="L5" s="7">
        <v>0.1333</v>
      </c>
      <c r="M5" s="8">
        <v>0.09</v>
      </c>
    </row>
    <row r="6" spans="1:13" ht="16.5" customHeight="1" x14ac:dyDescent="0.3">
      <c r="A6" s="5">
        <f>SUBTOTAL(3,$B$2:B6)-1</f>
        <v>4</v>
      </c>
      <c r="B6" s="4" t="s">
        <v>14</v>
      </c>
      <c r="C6" s="5">
        <v>25</v>
      </c>
      <c r="D6" s="5">
        <f t="shared" si="0"/>
        <v>25</v>
      </c>
      <c r="E6" s="5">
        <v>0</v>
      </c>
      <c r="F6" s="6">
        <v>6.9444444444444447E-4</v>
      </c>
      <c r="G6" s="6">
        <v>1.6203703703703703E-4</v>
      </c>
      <c r="H6" s="6">
        <v>2.0833333333333335E-4</v>
      </c>
      <c r="I6" s="6">
        <v>1.1805555555555556E-3</v>
      </c>
      <c r="J6" s="6">
        <v>5.2083333333333333E-4</v>
      </c>
      <c r="K6" s="7">
        <v>0.88</v>
      </c>
      <c r="L6" s="7">
        <v>0.12</v>
      </c>
      <c r="M6" s="8">
        <v>0.08</v>
      </c>
    </row>
    <row r="7" spans="1:13" ht="16.5" customHeight="1" x14ac:dyDescent="0.3">
      <c r="A7" s="5">
        <f>SUBTOTAL(3,$B$2:B7)-1</f>
        <v>5</v>
      </c>
      <c r="B7" s="4" t="s">
        <v>17</v>
      </c>
      <c r="C7" s="5">
        <v>89</v>
      </c>
      <c r="D7" s="5">
        <f t="shared" si="0"/>
        <v>89</v>
      </c>
      <c r="E7" s="5">
        <v>0</v>
      </c>
      <c r="F7" s="6">
        <v>7.5231481481481471E-4</v>
      </c>
      <c r="G7" s="6">
        <v>1.1574074074074073E-4</v>
      </c>
      <c r="H7" s="6">
        <v>1.3888888888888889E-4</v>
      </c>
      <c r="I7" s="6">
        <v>1.2384259259259258E-3</v>
      </c>
      <c r="J7" s="6">
        <v>6.3657407407407402E-4</v>
      </c>
      <c r="K7" s="7">
        <v>0.94379999999999997</v>
      </c>
      <c r="L7" s="7">
        <v>5.62E-2</v>
      </c>
      <c r="M7" s="8">
        <v>0.15</v>
      </c>
    </row>
    <row r="8" spans="1:13" ht="16.5" customHeight="1" x14ac:dyDescent="0.3">
      <c r="A8" s="5">
        <f>SUBTOTAL(3,$B$2:B8)-1</f>
        <v>6</v>
      </c>
      <c r="B8" s="4" t="s">
        <v>16</v>
      </c>
      <c r="C8" s="5">
        <v>40</v>
      </c>
      <c r="D8" s="5">
        <f t="shared" si="0"/>
        <v>40</v>
      </c>
      <c r="E8" s="5">
        <v>0</v>
      </c>
      <c r="F8" s="6">
        <v>7.407407407407407E-4</v>
      </c>
      <c r="G8" s="6">
        <v>5.7870370370370366E-5</v>
      </c>
      <c r="H8" s="6">
        <v>8.1018518518518516E-5</v>
      </c>
      <c r="I8" s="6">
        <v>5.9027777777777778E-4</v>
      </c>
      <c r="J8" s="6">
        <v>6.7129629629629625E-4</v>
      </c>
      <c r="K8" s="7">
        <v>0.95</v>
      </c>
      <c r="L8" s="7">
        <v>0.05</v>
      </c>
      <c r="M8" s="8">
        <v>0.06</v>
      </c>
    </row>
    <row r="9" spans="1:13" ht="16.5" customHeight="1" x14ac:dyDescent="0.3">
      <c r="A9" s="5">
        <f>SUBTOTAL(3,$B$2:B9)-1</f>
        <v>7</v>
      </c>
      <c r="B9" s="4" t="s">
        <v>19</v>
      </c>
      <c r="C9" s="5">
        <v>26</v>
      </c>
      <c r="D9" s="5">
        <f t="shared" si="0"/>
        <v>25</v>
      </c>
      <c r="E9" s="5">
        <v>1</v>
      </c>
      <c r="F9" s="6">
        <v>9.4907407407407408E-4</v>
      </c>
      <c r="G9" s="6">
        <v>2.8935185185185189E-4</v>
      </c>
      <c r="H9" s="6">
        <v>3.0092592592592595E-4</v>
      </c>
      <c r="I9" s="6">
        <v>1.4930555555555556E-3</v>
      </c>
      <c r="J9" s="6">
        <v>6.5972222222222213E-4</v>
      </c>
      <c r="K9" s="7">
        <v>0.96150000000000002</v>
      </c>
      <c r="L9" s="7">
        <v>3.85E-2</v>
      </c>
      <c r="M9" s="8">
        <v>0.14000000000000001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9</v>
      </c>
      <c r="D10" s="5">
        <f t="shared" si="0"/>
        <v>9</v>
      </c>
      <c r="E10" s="5">
        <v>0</v>
      </c>
      <c r="F10" s="6">
        <v>8.564814814814815E-4</v>
      </c>
      <c r="G10" s="6">
        <v>8.1018518518518516E-5</v>
      </c>
      <c r="H10" s="6">
        <v>8.1018518518518516E-5</v>
      </c>
      <c r="I10" s="6">
        <v>1.8518518518518518E-4</v>
      </c>
      <c r="J10" s="6">
        <v>7.6388888888888893E-4</v>
      </c>
      <c r="K10" s="7">
        <v>1</v>
      </c>
      <c r="L10" s="7">
        <v>0</v>
      </c>
      <c r="M10" s="8">
        <v>0.05</v>
      </c>
    </row>
    <row r="11" spans="1:13" ht="16.5" customHeight="1" x14ac:dyDescent="0.3">
      <c r="A11" s="5">
        <f>SUBTOTAL(3,$B$2:B11)-1</f>
        <v>9</v>
      </c>
      <c r="B11" s="9" t="s">
        <v>24</v>
      </c>
      <c r="C11" s="16">
        <v>59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10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377</v>
      </c>
      <c r="D13" s="13">
        <f>SUM(D3:D10)</f>
        <v>366</v>
      </c>
      <c r="E13" s="13">
        <f>SUM(E3:E10)</f>
        <v>11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91FF-E9C5-4046-9C41-8496A4559F3A}">
  <dimension ref="A1:M13"/>
  <sheetViews>
    <sheetView workbookViewId="0">
      <selection activeCell="M2" sqref="M2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74</v>
      </c>
      <c r="D3" s="5">
        <f>C3-E3</f>
        <v>67</v>
      </c>
      <c r="E3" s="5">
        <v>7</v>
      </c>
      <c r="F3" s="6">
        <v>1.1805555555555556E-3</v>
      </c>
      <c r="G3" s="6">
        <v>4.1666666666666669E-4</v>
      </c>
      <c r="H3" s="6">
        <v>5.5555555555555556E-4</v>
      </c>
      <c r="I3" s="6">
        <v>1.6203703703703703E-3</v>
      </c>
      <c r="J3" s="6">
        <v>7.6388888888888893E-4</v>
      </c>
      <c r="K3" s="7">
        <v>0.5</v>
      </c>
      <c r="L3" s="7">
        <v>0.5</v>
      </c>
      <c r="M3" s="8">
        <v>0.15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22</v>
      </c>
      <c r="D4" s="5">
        <f t="shared" ref="D4:D10" si="0">C4-E4</f>
        <v>22</v>
      </c>
      <c r="E4" s="5">
        <v>0</v>
      </c>
      <c r="F4" s="6">
        <v>6.3657407407407402E-4</v>
      </c>
      <c r="G4" s="6">
        <v>1.0416666666666667E-4</v>
      </c>
      <c r="H4" s="6">
        <v>1.6203703703703703E-4</v>
      </c>
      <c r="I4" s="6">
        <v>8.564814814814815E-4</v>
      </c>
      <c r="J4" s="6">
        <v>5.3240740740740744E-4</v>
      </c>
      <c r="K4" s="7">
        <v>0.86360000000000003</v>
      </c>
      <c r="L4" s="7">
        <v>0.13639999999999999</v>
      </c>
      <c r="M4" s="8">
        <v>0.2</v>
      </c>
    </row>
    <row r="5" spans="1:13" ht="16.5" customHeight="1" x14ac:dyDescent="0.3">
      <c r="A5" s="5">
        <f>SUBTOTAL(3,$B$2:B5)-1</f>
        <v>3</v>
      </c>
      <c r="B5" s="4" t="s">
        <v>14</v>
      </c>
      <c r="C5" s="5">
        <v>16</v>
      </c>
      <c r="D5" s="5">
        <f t="shared" si="0"/>
        <v>16</v>
      </c>
      <c r="E5" s="5">
        <v>0</v>
      </c>
      <c r="F5" s="6">
        <v>5.0925925925925921E-4</v>
      </c>
      <c r="G5" s="6">
        <v>5.7870370370370366E-5</v>
      </c>
      <c r="H5" s="6">
        <v>1.1574074074074073E-4</v>
      </c>
      <c r="I5" s="6">
        <v>7.8703703703703705E-4</v>
      </c>
      <c r="J5" s="6">
        <v>4.3981481481481481E-4</v>
      </c>
      <c r="K5" s="7">
        <v>0.875</v>
      </c>
      <c r="L5" s="7">
        <v>0.125</v>
      </c>
      <c r="M5" s="8">
        <v>0.06</v>
      </c>
    </row>
    <row r="6" spans="1:13" ht="16.5" customHeight="1" x14ac:dyDescent="0.3">
      <c r="A6" s="5">
        <f>SUBTOTAL(3,$B$2:B6)-1</f>
        <v>4</v>
      </c>
      <c r="B6" s="4" t="s">
        <v>17</v>
      </c>
      <c r="C6" s="5">
        <v>64</v>
      </c>
      <c r="D6" s="5">
        <f t="shared" si="0"/>
        <v>64</v>
      </c>
      <c r="E6" s="5">
        <v>0</v>
      </c>
      <c r="F6" s="6">
        <v>8.2175925925925917E-4</v>
      </c>
      <c r="G6" s="6">
        <v>1.8518518518518518E-4</v>
      </c>
      <c r="H6" s="6">
        <v>2.3148148148148146E-4</v>
      </c>
      <c r="I6" s="6">
        <v>1.261574074074074E-3</v>
      </c>
      <c r="J6" s="6">
        <v>6.2500000000000001E-4</v>
      </c>
      <c r="K6" s="7">
        <v>0.89059999999999995</v>
      </c>
      <c r="L6" s="7">
        <v>0.1094</v>
      </c>
      <c r="M6" s="8">
        <v>0.19</v>
      </c>
    </row>
    <row r="7" spans="1:13" ht="16.5" customHeight="1" x14ac:dyDescent="0.3">
      <c r="A7" s="5">
        <f>SUBTOTAL(3,$B$2:B7)-1</f>
        <v>5</v>
      </c>
      <c r="B7" s="4" t="s">
        <v>13</v>
      </c>
      <c r="C7" s="5">
        <v>37</v>
      </c>
      <c r="D7" s="5">
        <f t="shared" si="0"/>
        <v>36</v>
      </c>
      <c r="E7" s="5">
        <v>1</v>
      </c>
      <c r="F7" s="6">
        <v>9.1435185185185185E-4</v>
      </c>
      <c r="G7" s="6">
        <v>1.273148148148148E-4</v>
      </c>
      <c r="H7" s="6">
        <v>2.0833333333333335E-4</v>
      </c>
      <c r="I7" s="6">
        <v>1.736111111111111E-3</v>
      </c>
      <c r="J7" s="6">
        <v>7.8703703703703705E-4</v>
      </c>
      <c r="K7" s="7">
        <v>0.89190000000000003</v>
      </c>
      <c r="L7" s="7">
        <v>0.1081</v>
      </c>
      <c r="M7" s="8">
        <v>0.11</v>
      </c>
    </row>
    <row r="8" spans="1:13" ht="16.5" customHeight="1" x14ac:dyDescent="0.3">
      <c r="A8" s="5">
        <f>SUBTOTAL(3,$B$2:B8)-1</f>
        <v>6</v>
      </c>
      <c r="B8" s="4" t="s">
        <v>18</v>
      </c>
      <c r="C8" s="5">
        <v>31</v>
      </c>
      <c r="D8" s="5">
        <f t="shared" si="0"/>
        <v>31</v>
      </c>
      <c r="E8" s="5">
        <v>0</v>
      </c>
      <c r="F8" s="6">
        <v>9.6064814814814808E-4</v>
      </c>
      <c r="G8" s="6">
        <v>1.3888888888888889E-4</v>
      </c>
      <c r="H8" s="6">
        <v>1.5046296296296297E-4</v>
      </c>
      <c r="I8" s="6">
        <v>8.564814814814815E-4</v>
      </c>
      <c r="J8" s="6">
        <v>8.1018518518518516E-4</v>
      </c>
      <c r="K8" s="7">
        <v>0.9355</v>
      </c>
      <c r="L8" s="7">
        <v>6.4500000000000002E-2</v>
      </c>
      <c r="M8" s="8">
        <v>0.17</v>
      </c>
    </row>
    <row r="9" spans="1:13" ht="16.5" customHeight="1" x14ac:dyDescent="0.3">
      <c r="A9" s="5">
        <f>SUBTOTAL(3,$B$2:B9)-1</f>
        <v>7</v>
      </c>
      <c r="B9" s="4" t="s">
        <v>16</v>
      </c>
      <c r="C9" s="5">
        <v>23</v>
      </c>
      <c r="D9" s="5">
        <f t="shared" si="0"/>
        <v>23</v>
      </c>
      <c r="E9" s="5">
        <v>0</v>
      </c>
      <c r="F9" s="6">
        <v>7.175925925925927E-4</v>
      </c>
      <c r="G9" s="6">
        <v>3.4722222222222222E-5</v>
      </c>
      <c r="H9" s="6">
        <v>3.4722222222222222E-5</v>
      </c>
      <c r="I9" s="6">
        <v>8.1018518518518516E-5</v>
      </c>
      <c r="J9" s="6">
        <v>6.7129629629629625E-4</v>
      </c>
      <c r="K9" s="7">
        <v>0.95650000000000002</v>
      </c>
      <c r="L9" s="7">
        <v>4.3499999999999997E-2</v>
      </c>
      <c r="M9" s="8">
        <v>0.06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2</v>
      </c>
      <c r="D10" s="5">
        <f t="shared" si="0"/>
        <v>2</v>
      </c>
      <c r="E10" s="5">
        <v>0</v>
      </c>
      <c r="F10" s="6">
        <v>1.1921296296296296E-3</v>
      </c>
      <c r="G10" s="6">
        <v>2.0833333333333335E-4</v>
      </c>
      <c r="H10" s="6">
        <v>2.0833333333333335E-4</v>
      </c>
      <c r="I10" s="6">
        <v>3.8194444444444446E-4</v>
      </c>
      <c r="J10" s="6">
        <v>9.7222222222222209E-4</v>
      </c>
      <c r="K10" s="7">
        <v>1</v>
      </c>
      <c r="L10" s="7">
        <v>0</v>
      </c>
      <c r="M10" s="8">
        <v>0.06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49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0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269</v>
      </c>
      <c r="D13" s="13">
        <f>SUM(D3:D10)</f>
        <v>261</v>
      </c>
      <c r="E13" s="13">
        <f>SUM(E3:E10)</f>
        <v>8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0E59-89D2-48F2-AE95-8489B4046CC5}">
  <dimension ref="A1:M13"/>
  <sheetViews>
    <sheetView workbookViewId="0">
      <selection activeCell="G8" sqref="G8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74</v>
      </c>
      <c r="D3" s="5">
        <f>C3-E3</f>
        <v>72</v>
      </c>
      <c r="E3" s="5">
        <v>2</v>
      </c>
      <c r="F3" s="6">
        <v>8.2175925925925917E-4</v>
      </c>
      <c r="G3" s="6">
        <v>2.199074074074074E-4</v>
      </c>
      <c r="H3" s="6">
        <v>2.7777777777777778E-4</v>
      </c>
      <c r="I3" s="6">
        <v>1.2384259259259258E-3</v>
      </c>
      <c r="J3" s="6">
        <v>6.018518518518519E-4</v>
      </c>
      <c r="K3" s="7">
        <v>0.79730000000000001</v>
      </c>
      <c r="L3" s="7">
        <v>0.20269999999999999</v>
      </c>
      <c r="M3" s="8">
        <v>0.25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17</v>
      </c>
      <c r="D4" s="5">
        <f t="shared" ref="D4:D10" si="0">C4-E4</f>
        <v>17</v>
      </c>
      <c r="E4" s="5">
        <v>0</v>
      </c>
      <c r="F4" s="6">
        <v>8.564814814814815E-4</v>
      </c>
      <c r="G4" s="6">
        <v>2.199074074074074E-4</v>
      </c>
      <c r="H4" s="6">
        <v>2.7777777777777778E-4</v>
      </c>
      <c r="I4" s="6">
        <v>9.2592592592592585E-4</v>
      </c>
      <c r="J4" s="6">
        <v>6.3657407407407402E-4</v>
      </c>
      <c r="K4" s="7">
        <v>0.82350000000000001</v>
      </c>
      <c r="L4" s="7">
        <v>0.17649999999999999</v>
      </c>
      <c r="M4" s="8">
        <v>0.16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46</v>
      </c>
      <c r="D5" s="5">
        <f t="shared" si="0"/>
        <v>45</v>
      </c>
      <c r="E5" s="5">
        <v>1</v>
      </c>
      <c r="F5" s="6">
        <v>7.8703703703703705E-4</v>
      </c>
      <c r="G5" s="6">
        <v>1.273148148148148E-4</v>
      </c>
      <c r="H5" s="6">
        <v>2.3148148148148146E-4</v>
      </c>
      <c r="I5" s="6">
        <v>1.261574074074074E-3</v>
      </c>
      <c r="J5" s="6">
        <v>6.4814814814814813E-4</v>
      </c>
      <c r="K5" s="7">
        <v>0.82609999999999995</v>
      </c>
      <c r="L5" s="7">
        <v>0.1739</v>
      </c>
      <c r="M5" s="8">
        <v>0.11</v>
      </c>
    </row>
    <row r="6" spans="1:13" ht="16.5" customHeight="1" x14ac:dyDescent="0.3">
      <c r="A6" s="5">
        <f>SUBTOTAL(3,$B$2:B6)-1</f>
        <v>4</v>
      </c>
      <c r="B6" s="4" t="s">
        <v>18</v>
      </c>
      <c r="C6" s="5">
        <v>50</v>
      </c>
      <c r="D6" s="5">
        <f t="shared" si="0"/>
        <v>49</v>
      </c>
      <c r="E6" s="5">
        <v>1</v>
      </c>
      <c r="F6" s="6">
        <v>1.0300925925925926E-3</v>
      </c>
      <c r="G6" s="6">
        <v>1.0416666666666667E-4</v>
      </c>
      <c r="H6" s="6">
        <v>1.3888888888888889E-4</v>
      </c>
      <c r="I6" s="6">
        <v>6.018518518518519E-4</v>
      </c>
      <c r="J6" s="6">
        <v>9.1435185185185185E-4</v>
      </c>
      <c r="K6" s="7">
        <v>0.86</v>
      </c>
      <c r="L6" s="7">
        <v>0.14000000000000001</v>
      </c>
      <c r="M6" s="8">
        <v>0.15</v>
      </c>
    </row>
    <row r="7" spans="1:13" ht="16.5" customHeight="1" x14ac:dyDescent="0.3">
      <c r="A7" s="5">
        <f>SUBTOTAL(3,$B$2:B7)-1</f>
        <v>5</v>
      </c>
      <c r="B7" s="4" t="s">
        <v>14</v>
      </c>
      <c r="C7" s="5">
        <v>23</v>
      </c>
      <c r="D7" s="5">
        <f t="shared" si="0"/>
        <v>23</v>
      </c>
      <c r="E7" s="5">
        <v>0</v>
      </c>
      <c r="F7" s="6">
        <v>8.449074074074075E-4</v>
      </c>
      <c r="G7" s="6">
        <v>1.273148148148148E-4</v>
      </c>
      <c r="H7" s="6">
        <v>1.273148148148148E-4</v>
      </c>
      <c r="I7" s="6">
        <v>9.6064814814814808E-4</v>
      </c>
      <c r="J7" s="6">
        <v>7.0601851851851847E-4</v>
      </c>
      <c r="K7" s="7">
        <v>0.86960000000000004</v>
      </c>
      <c r="L7" s="7">
        <v>0.13039999999999999</v>
      </c>
      <c r="M7" s="8">
        <v>0.06</v>
      </c>
    </row>
    <row r="8" spans="1:13" ht="16.5" customHeight="1" x14ac:dyDescent="0.3">
      <c r="A8" s="5">
        <f>SUBTOTAL(3,$B$2:B8)-1</f>
        <v>6</v>
      </c>
      <c r="B8" s="4" t="s">
        <v>17</v>
      </c>
      <c r="C8" s="5">
        <v>77</v>
      </c>
      <c r="D8" s="5">
        <f t="shared" si="0"/>
        <v>77</v>
      </c>
      <c r="E8" s="5">
        <v>0</v>
      </c>
      <c r="F8" s="6">
        <v>9.6064814814814808E-4</v>
      </c>
      <c r="G8" s="6">
        <v>1.9675925925925926E-4</v>
      </c>
      <c r="H8" s="6">
        <v>2.4305555555555552E-4</v>
      </c>
      <c r="I8" s="6">
        <v>1.0879629629629629E-3</v>
      </c>
      <c r="J8" s="6">
        <v>7.5231481481481471E-4</v>
      </c>
      <c r="K8" s="7">
        <v>0.89610000000000001</v>
      </c>
      <c r="L8" s="7">
        <v>0.10390000000000001</v>
      </c>
      <c r="M8" s="8">
        <v>0.18</v>
      </c>
    </row>
    <row r="9" spans="1:13" ht="16.5" customHeight="1" x14ac:dyDescent="0.3">
      <c r="A9" s="5">
        <f>SUBTOTAL(3,$B$2:B9)-1</f>
        <v>7</v>
      </c>
      <c r="B9" s="4" t="s">
        <v>16</v>
      </c>
      <c r="C9" s="5">
        <v>26</v>
      </c>
      <c r="D9" s="5">
        <f t="shared" si="0"/>
        <v>26</v>
      </c>
      <c r="E9" s="5">
        <v>0</v>
      </c>
      <c r="F9" s="6">
        <v>7.5231481481481471E-4</v>
      </c>
      <c r="G9" s="6">
        <v>6.9444444444444444E-5</v>
      </c>
      <c r="H9" s="6">
        <v>6.9444444444444444E-5</v>
      </c>
      <c r="I9" s="6">
        <v>5.0925925925925921E-4</v>
      </c>
      <c r="J9" s="6">
        <v>6.7129629629629625E-4</v>
      </c>
      <c r="K9" s="7">
        <v>1</v>
      </c>
      <c r="L9" s="7">
        <v>0</v>
      </c>
      <c r="M9" s="8">
        <v>0.04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1</v>
      </c>
      <c r="D10" s="5">
        <f t="shared" si="0"/>
        <v>1</v>
      </c>
      <c r="E10" s="5">
        <v>0</v>
      </c>
      <c r="F10" s="6">
        <v>7.7546296296296304E-4</v>
      </c>
      <c r="G10" s="6">
        <v>3.7037037037037035E-4</v>
      </c>
      <c r="H10" s="6">
        <v>3.7037037037037035E-4</v>
      </c>
      <c r="I10" s="6">
        <v>3.7037037037037035E-4</v>
      </c>
      <c r="J10" s="6">
        <v>4.0509259259259258E-4</v>
      </c>
      <c r="K10" s="7">
        <v>1</v>
      </c>
      <c r="L10" s="7">
        <v>0</v>
      </c>
      <c r="M10" s="8">
        <v>0.05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25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39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314</v>
      </c>
      <c r="D13" s="13">
        <f>SUM(D3:D10)</f>
        <v>310</v>
      </c>
      <c r="E13" s="13">
        <f>SUM(E3:E10)</f>
        <v>4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7726-224D-43AB-BA9F-9904002000FB}">
  <dimension ref="A1:M13"/>
  <sheetViews>
    <sheetView workbookViewId="0">
      <selection activeCell="C12" sqref="C12:E12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60</v>
      </c>
      <c r="D3" s="5">
        <f>C3-E3</f>
        <v>60</v>
      </c>
      <c r="E3" s="5">
        <v>0</v>
      </c>
      <c r="F3" s="6">
        <v>9.7222222222222209E-4</v>
      </c>
      <c r="G3" s="6">
        <v>2.5462962962962961E-4</v>
      </c>
      <c r="H3" s="6">
        <v>3.3564814814814812E-4</v>
      </c>
      <c r="I3" s="6">
        <v>1.4351851851851854E-3</v>
      </c>
      <c r="J3" s="6">
        <v>7.175925925925927E-4</v>
      </c>
      <c r="K3" s="7">
        <v>0.7833</v>
      </c>
      <c r="L3" s="7">
        <v>0.2167</v>
      </c>
      <c r="M3" s="8">
        <v>0.21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30</v>
      </c>
      <c r="D4" s="5">
        <f t="shared" ref="D4:D10" si="0">C4-E4</f>
        <v>29</v>
      </c>
      <c r="E4" s="5">
        <v>1</v>
      </c>
      <c r="F4" s="6">
        <v>8.9120370370370362E-4</v>
      </c>
      <c r="G4" s="6">
        <v>1.8518518518518518E-4</v>
      </c>
      <c r="H4" s="6">
        <v>3.0092592592592595E-4</v>
      </c>
      <c r="I4" s="6">
        <v>1.2152777777777778E-3</v>
      </c>
      <c r="J4" s="6">
        <v>6.9444444444444447E-4</v>
      </c>
      <c r="K4" s="7">
        <v>0.8</v>
      </c>
      <c r="L4" s="7">
        <v>0.2</v>
      </c>
      <c r="M4" s="8">
        <v>0.16</v>
      </c>
    </row>
    <row r="5" spans="1:13" ht="16.5" customHeight="1" x14ac:dyDescent="0.3">
      <c r="A5" s="5">
        <f>SUBTOTAL(3,$B$2:B5)-1</f>
        <v>3</v>
      </c>
      <c r="B5" s="4" t="s">
        <v>17</v>
      </c>
      <c r="C5" s="5">
        <v>82</v>
      </c>
      <c r="D5" s="5">
        <f t="shared" si="0"/>
        <v>80</v>
      </c>
      <c r="E5" s="5">
        <v>2</v>
      </c>
      <c r="F5" s="6">
        <v>8.9120370370370362E-4</v>
      </c>
      <c r="G5" s="6">
        <v>1.8518518518518518E-4</v>
      </c>
      <c r="H5" s="6">
        <v>2.3148148148148146E-4</v>
      </c>
      <c r="I5" s="6">
        <v>1.3657407407407409E-3</v>
      </c>
      <c r="J5" s="6">
        <v>7.0601851851851847E-4</v>
      </c>
      <c r="K5" s="7">
        <v>0.81710000000000005</v>
      </c>
      <c r="L5" s="7">
        <v>0.18290000000000001</v>
      </c>
      <c r="M5" s="8">
        <v>0.16</v>
      </c>
    </row>
    <row r="6" spans="1:13" ht="16.5" customHeight="1" x14ac:dyDescent="0.3">
      <c r="A6" s="5">
        <f>SUBTOTAL(3,$B$2:B6)-1</f>
        <v>4</v>
      </c>
      <c r="B6" s="4" t="s">
        <v>15</v>
      </c>
      <c r="C6" s="5">
        <v>7</v>
      </c>
      <c r="D6" s="5">
        <f t="shared" si="0"/>
        <v>6</v>
      </c>
      <c r="E6" s="5">
        <v>1</v>
      </c>
      <c r="F6" s="6">
        <v>7.5231481481481471E-4</v>
      </c>
      <c r="G6" s="6">
        <v>4.6296296296296294E-5</v>
      </c>
      <c r="H6" s="6">
        <v>1.3888888888888889E-4</v>
      </c>
      <c r="I6" s="6">
        <v>6.9444444444444447E-4</v>
      </c>
      <c r="J6" s="6">
        <v>6.9444444444444447E-4</v>
      </c>
      <c r="K6" s="7">
        <v>0.85709999999999997</v>
      </c>
      <c r="L6" s="7">
        <v>0.1429</v>
      </c>
      <c r="M6" s="8">
        <v>0.04</v>
      </c>
    </row>
    <row r="7" spans="1:13" ht="16.5" customHeight="1" x14ac:dyDescent="0.3">
      <c r="A7" s="5">
        <f>SUBTOTAL(3,$B$2:B7)-1</f>
        <v>5</v>
      </c>
      <c r="B7" s="4" t="s">
        <v>18</v>
      </c>
      <c r="C7" s="5">
        <v>39</v>
      </c>
      <c r="D7" s="5">
        <f t="shared" si="0"/>
        <v>39</v>
      </c>
      <c r="E7" s="5">
        <v>0</v>
      </c>
      <c r="F7" s="6">
        <v>7.9861111111111105E-4</v>
      </c>
      <c r="G7" s="6">
        <v>8.1018518518518516E-5</v>
      </c>
      <c r="H7" s="6">
        <v>9.2592592592592588E-5</v>
      </c>
      <c r="I7" s="6">
        <v>4.6296296296296293E-4</v>
      </c>
      <c r="J7" s="6">
        <v>7.175925925925927E-4</v>
      </c>
      <c r="K7" s="7">
        <v>0.92310000000000003</v>
      </c>
      <c r="L7" s="7">
        <v>7.6899999999999996E-2</v>
      </c>
      <c r="M7" s="8">
        <v>0.16</v>
      </c>
    </row>
    <row r="8" spans="1:13" ht="16.5" customHeight="1" x14ac:dyDescent="0.3">
      <c r="A8" s="5">
        <f>SUBTOTAL(3,$B$2:B8)-1</f>
        <v>6</v>
      </c>
      <c r="B8" s="4" t="s">
        <v>13</v>
      </c>
      <c r="C8" s="5">
        <v>38</v>
      </c>
      <c r="D8" s="5">
        <f t="shared" si="0"/>
        <v>38</v>
      </c>
      <c r="E8" s="5">
        <v>0</v>
      </c>
      <c r="F8" s="6">
        <v>1.0300925925925926E-3</v>
      </c>
      <c r="G8" s="6">
        <v>1.0416666666666667E-4</v>
      </c>
      <c r="H8" s="6">
        <v>1.3888888888888889E-4</v>
      </c>
      <c r="I8" s="6">
        <v>9.4907407407407408E-4</v>
      </c>
      <c r="J8" s="6">
        <v>9.1435185185185185E-4</v>
      </c>
      <c r="K8" s="7">
        <v>0.94740000000000002</v>
      </c>
      <c r="L8" s="7">
        <v>5.2600000000000001E-2</v>
      </c>
      <c r="M8" s="8">
        <v>0.12</v>
      </c>
    </row>
    <row r="9" spans="1:13" ht="16.5" customHeight="1" x14ac:dyDescent="0.3">
      <c r="A9" s="5">
        <f>SUBTOTAL(3,$B$2:B9)-1</f>
        <v>7</v>
      </c>
      <c r="B9" s="4" t="s">
        <v>14</v>
      </c>
      <c r="C9" s="5">
        <v>25</v>
      </c>
      <c r="D9" s="5">
        <f t="shared" si="0"/>
        <v>25</v>
      </c>
      <c r="E9" s="5">
        <v>0</v>
      </c>
      <c r="F9" s="6">
        <v>7.5231481481481471E-4</v>
      </c>
      <c r="G9" s="6">
        <v>8.1018518518518516E-5</v>
      </c>
      <c r="H9" s="6">
        <v>9.2592592592592588E-5</v>
      </c>
      <c r="I9" s="6">
        <v>4.9768518518518521E-4</v>
      </c>
      <c r="J9" s="6">
        <v>6.7129629629629625E-4</v>
      </c>
      <c r="K9" s="7">
        <v>0.96</v>
      </c>
      <c r="L9" s="7">
        <v>0.04</v>
      </c>
      <c r="M9" s="8">
        <v>7.0000000000000007E-2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34</v>
      </c>
      <c r="D10" s="5">
        <f t="shared" si="0"/>
        <v>33</v>
      </c>
      <c r="E10" s="5">
        <v>1</v>
      </c>
      <c r="F10" s="6">
        <v>7.291666666666667E-4</v>
      </c>
      <c r="G10" s="6">
        <v>8.1018518518518516E-5</v>
      </c>
      <c r="H10" s="6">
        <v>8.1018518518518516E-5</v>
      </c>
      <c r="I10" s="6">
        <v>3.7037037037037035E-4</v>
      </c>
      <c r="J10" s="6">
        <v>6.4814814814814813E-4</v>
      </c>
      <c r="K10" s="7">
        <v>0.97060000000000002</v>
      </c>
      <c r="L10" s="7">
        <v>2.9399999999999999E-2</v>
      </c>
      <c r="M10" s="8">
        <v>0.08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50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36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315</v>
      </c>
      <c r="D13" s="13">
        <f>SUM(D3:D10)</f>
        <v>310</v>
      </c>
      <c r="E13" s="13">
        <f>SUM(E3:E10)</f>
        <v>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14C7-AFCA-4C3E-8071-DF838354F505}">
  <dimension ref="A1:M13"/>
  <sheetViews>
    <sheetView workbookViewId="0">
      <selection activeCell="F4" sqref="F4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19</v>
      </c>
      <c r="C3" s="5">
        <v>24</v>
      </c>
      <c r="D3" s="5">
        <f>C3-E3</f>
        <v>22</v>
      </c>
      <c r="E3" s="5">
        <v>2</v>
      </c>
      <c r="F3" s="6">
        <v>1.0532407407407407E-3</v>
      </c>
      <c r="G3" s="6">
        <v>1.7361111111111112E-4</v>
      </c>
      <c r="H3" s="6">
        <v>3.8194444444444446E-4</v>
      </c>
      <c r="I3" s="6">
        <v>1.3541666666666667E-3</v>
      </c>
      <c r="J3" s="6">
        <v>8.6805555555555551E-4</v>
      </c>
      <c r="K3" s="7">
        <v>0.58330000000000004</v>
      </c>
      <c r="L3" s="7">
        <v>0.41670000000000001</v>
      </c>
      <c r="M3" s="8">
        <v>0.19</v>
      </c>
    </row>
    <row r="4" spans="1:13" ht="16.5" customHeight="1" x14ac:dyDescent="0.3">
      <c r="A4" s="5">
        <f>SUBTOTAL(3,$B$2:B4)-1</f>
        <v>2</v>
      </c>
      <c r="B4" s="4" t="s">
        <v>17</v>
      </c>
      <c r="C4" s="5">
        <v>100</v>
      </c>
      <c r="D4" s="5">
        <f t="shared" ref="D4:D10" si="0">C4-E4</f>
        <v>95</v>
      </c>
      <c r="E4" s="5">
        <v>5</v>
      </c>
      <c r="F4" s="6">
        <v>1.0416666666666667E-3</v>
      </c>
      <c r="G4" s="6">
        <v>2.8935185185185189E-4</v>
      </c>
      <c r="H4" s="6">
        <v>4.3981481481481481E-4</v>
      </c>
      <c r="I4" s="6">
        <v>2.1296296296296298E-3</v>
      </c>
      <c r="J4" s="6">
        <v>7.5231481481481471E-4</v>
      </c>
      <c r="K4" s="7">
        <v>0.66</v>
      </c>
      <c r="L4" s="7">
        <v>0.34</v>
      </c>
      <c r="M4" s="8">
        <v>0.18</v>
      </c>
    </row>
    <row r="5" spans="1:13" ht="16.5" customHeight="1" x14ac:dyDescent="0.3">
      <c r="A5" s="5">
        <f>SUBTOTAL(3,$B$2:B5)-1</f>
        <v>3</v>
      </c>
      <c r="B5" s="4" t="s">
        <v>14</v>
      </c>
      <c r="C5" s="5">
        <v>39</v>
      </c>
      <c r="D5" s="5">
        <f t="shared" si="0"/>
        <v>39</v>
      </c>
      <c r="E5" s="5">
        <v>0</v>
      </c>
      <c r="F5" s="6">
        <v>7.0601851851851847E-4</v>
      </c>
      <c r="G5" s="6">
        <v>9.2592592592592588E-5</v>
      </c>
      <c r="H5" s="6">
        <v>1.8518518518518518E-4</v>
      </c>
      <c r="I5" s="6">
        <v>9.0277777777777784E-4</v>
      </c>
      <c r="J5" s="6">
        <v>6.134259259259259E-4</v>
      </c>
      <c r="K5" s="7">
        <v>0.76919999999999999</v>
      </c>
      <c r="L5" s="7">
        <v>0.23080000000000001</v>
      </c>
      <c r="M5" s="8">
        <v>0.05</v>
      </c>
    </row>
    <row r="6" spans="1:13" ht="16.5" customHeight="1" x14ac:dyDescent="0.3">
      <c r="A6" s="5">
        <f>SUBTOTAL(3,$B$2:B6)-1</f>
        <v>4</v>
      </c>
      <c r="B6" s="4" t="s">
        <v>20</v>
      </c>
      <c r="C6" s="5">
        <v>53</v>
      </c>
      <c r="D6" s="5">
        <f t="shared" si="0"/>
        <v>52</v>
      </c>
      <c r="E6" s="5">
        <v>1</v>
      </c>
      <c r="F6" s="6">
        <v>6.9444444444444447E-4</v>
      </c>
      <c r="G6" s="6">
        <v>1.7361111111111112E-4</v>
      </c>
      <c r="H6" s="6">
        <v>2.7777777777777778E-4</v>
      </c>
      <c r="I6" s="6">
        <v>1.1805555555555556E-3</v>
      </c>
      <c r="J6" s="6">
        <v>5.0925925925925921E-4</v>
      </c>
      <c r="K6" s="7">
        <v>0.77359999999999995</v>
      </c>
      <c r="L6" s="7">
        <v>0.22639999999999999</v>
      </c>
      <c r="M6" s="8">
        <v>0.18</v>
      </c>
    </row>
    <row r="7" spans="1:13" ht="16.5" customHeight="1" x14ac:dyDescent="0.3">
      <c r="A7" s="5">
        <f>SUBTOTAL(3,$B$2:B7)-1</f>
        <v>5</v>
      </c>
      <c r="B7" s="4" t="s">
        <v>13</v>
      </c>
      <c r="C7" s="5">
        <v>42</v>
      </c>
      <c r="D7" s="5">
        <f t="shared" si="0"/>
        <v>40</v>
      </c>
      <c r="E7" s="5">
        <v>2</v>
      </c>
      <c r="F7" s="6">
        <v>8.6805555555555551E-4</v>
      </c>
      <c r="G7" s="6">
        <v>1.6203703703703703E-4</v>
      </c>
      <c r="H7" s="6">
        <v>2.8935185185185189E-4</v>
      </c>
      <c r="I7" s="6">
        <v>1.3657407407407409E-3</v>
      </c>
      <c r="J7" s="6">
        <v>7.0601851851851847E-4</v>
      </c>
      <c r="K7" s="7">
        <v>0.78569999999999995</v>
      </c>
      <c r="L7" s="7">
        <v>0.21429999999999999</v>
      </c>
      <c r="M7" s="8">
        <v>0.13</v>
      </c>
    </row>
    <row r="8" spans="1:13" ht="16.5" customHeight="1" x14ac:dyDescent="0.3">
      <c r="A8" s="5">
        <f>SUBTOTAL(3,$B$2:B8)-1</f>
        <v>6</v>
      </c>
      <c r="B8" s="4" t="s">
        <v>18</v>
      </c>
      <c r="C8" s="5">
        <v>69</v>
      </c>
      <c r="D8" s="5">
        <f t="shared" si="0"/>
        <v>69</v>
      </c>
      <c r="E8" s="5">
        <v>0</v>
      </c>
      <c r="F8" s="6">
        <v>1.0879629629629629E-3</v>
      </c>
      <c r="G8" s="6">
        <v>1.273148148148148E-4</v>
      </c>
      <c r="H8" s="6">
        <v>2.199074074074074E-4</v>
      </c>
      <c r="I8" s="6">
        <v>2.1874999999999998E-3</v>
      </c>
      <c r="J8" s="6">
        <v>9.4907407407407408E-4</v>
      </c>
      <c r="K8" s="7">
        <v>0.82609999999999995</v>
      </c>
      <c r="L8" s="7">
        <v>0.1739</v>
      </c>
      <c r="M8" s="8">
        <v>0.17</v>
      </c>
    </row>
    <row r="9" spans="1:13" ht="16.5" customHeight="1" x14ac:dyDescent="0.3">
      <c r="A9" s="5">
        <f>SUBTOTAL(3,$B$2:B9)-1</f>
        <v>7</v>
      </c>
      <c r="B9" s="4" t="s">
        <v>15</v>
      </c>
      <c r="C9" s="5">
        <v>6</v>
      </c>
      <c r="D9" s="5">
        <f t="shared" si="0"/>
        <v>5</v>
      </c>
      <c r="E9" s="5">
        <v>1</v>
      </c>
      <c r="F9" s="6">
        <v>8.1018518518518516E-4</v>
      </c>
      <c r="G9" s="6">
        <v>1.0416666666666667E-4</v>
      </c>
      <c r="H9" s="6">
        <v>2.199074074074074E-4</v>
      </c>
      <c r="I9" s="6">
        <v>7.9861111111111105E-4</v>
      </c>
      <c r="J9" s="6">
        <v>6.9444444444444447E-4</v>
      </c>
      <c r="K9" s="7">
        <v>0.83330000000000004</v>
      </c>
      <c r="L9" s="7">
        <v>0.16669999999999999</v>
      </c>
      <c r="M9" s="8">
        <v>0.04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41</v>
      </c>
      <c r="D10" s="5">
        <f t="shared" si="0"/>
        <v>41</v>
      </c>
      <c r="E10" s="5">
        <v>0</v>
      </c>
      <c r="F10" s="6">
        <v>8.449074074074075E-4</v>
      </c>
      <c r="G10" s="6">
        <v>6.9444444444444444E-5</v>
      </c>
      <c r="H10" s="6">
        <v>1.273148148148148E-4</v>
      </c>
      <c r="I10" s="6">
        <v>8.3333333333333339E-4</v>
      </c>
      <c r="J10" s="6">
        <v>7.6388888888888893E-4</v>
      </c>
      <c r="K10" s="7">
        <v>0.90239999999999998</v>
      </c>
      <c r="L10" s="7">
        <v>9.7600000000000006E-2</v>
      </c>
      <c r="M10" s="8">
        <v>0.06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51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43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374</v>
      </c>
      <c r="D13" s="13">
        <f>SUM(D3:D10)</f>
        <v>363</v>
      </c>
      <c r="E13" s="13">
        <f>SUM(E3:E10)</f>
        <v>11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A35F-6E7C-45E9-A1EC-5E87CFFC1D82}">
  <dimension ref="A1:M13"/>
  <sheetViews>
    <sheetView workbookViewId="0">
      <selection activeCell="M4" sqref="M4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15</v>
      </c>
      <c r="C3" s="5">
        <v>10</v>
      </c>
      <c r="D3" s="5">
        <f>C3-E3</f>
        <v>8</v>
      </c>
      <c r="E3" s="5">
        <v>2</v>
      </c>
      <c r="F3" s="6">
        <v>1.5046296296296294E-3</v>
      </c>
      <c r="G3" s="6">
        <v>5.7870370370370366E-5</v>
      </c>
      <c r="H3" s="6">
        <v>3.8194444444444446E-4</v>
      </c>
      <c r="I3" s="6">
        <v>1.4351851851851854E-3</v>
      </c>
      <c r="J3" s="6">
        <v>1.4467592592592594E-3</v>
      </c>
      <c r="K3" s="7">
        <v>0.5</v>
      </c>
      <c r="L3" s="7">
        <v>0.5</v>
      </c>
      <c r="M3" s="8">
        <v>0.04</v>
      </c>
    </row>
    <row r="4" spans="1:13" ht="16.5" customHeight="1" x14ac:dyDescent="0.3">
      <c r="A4" s="5">
        <f>SUBTOTAL(3,$B$2:B4)-1</f>
        <v>2</v>
      </c>
      <c r="B4" s="4" t="s">
        <v>17</v>
      </c>
      <c r="C4" s="5">
        <v>124</v>
      </c>
      <c r="D4" s="5">
        <f t="shared" ref="D4:D10" si="0">C4-E4</f>
        <v>118</v>
      </c>
      <c r="E4" s="5">
        <v>6</v>
      </c>
      <c r="F4" s="6">
        <v>1.0648148148148147E-3</v>
      </c>
      <c r="G4" s="6">
        <v>2.7777777777777778E-4</v>
      </c>
      <c r="H4" s="6">
        <v>4.1666666666666669E-4</v>
      </c>
      <c r="I4" s="6">
        <v>2.0601851851851853E-3</v>
      </c>
      <c r="J4" s="6">
        <v>7.8703703703703705E-4</v>
      </c>
      <c r="K4" s="7">
        <v>0.6048</v>
      </c>
      <c r="L4" s="7">
        <v>0.3952</v>
      </c>
      <c r="M4" s="8">
        <v>0.14000000000000001</v>
      </c>
    </row>
    <row r="5" spans="1:13" ht="16.5" customHeight="1" x14ac:dyDescent="0.3">
      <c r="A5" s="5">
        <f>SUBTOTAL(3,$B$2:B5)-1</f>
        <v>3</v>
      </c>
      <c r="B5" s="4" t="s">
        <v>19</v>
      </c>
      <c r="C5" s="5">
        <v>59</v>
      </c>
      <c r="D5" s="5">
        <f t="shared" si="0"/>
        <v>57</v>
      </c>
      <c r="E5" s="5">
        <v>2</v>
      </c>
      <c r="F5" s="6">
        <v>1.0995370370370371E-3</v>
      </c>
      <c r="G5" s="6">
        <v>3.9351851851851852E-4</v>
      </c>
      <c r="H5" s="6">
        <v>5.3240740740740744E-4</v>
      </c>
      <c r="I5" s="6">
        <v>2.1064814814814813E-3</v>
      </c>
      <c r="J5" s="6">
        <v>7.0601851851851847E-4</v>
      </c>
      <c r="K5" s="7">
        <v>0.62709999999999999</v>
      </c>
      <c r="L5" s="7">
        <v>0.37290000000000001</v>
      </c>
      <c r="M5" s="8">
        <v>0.2</v>
      </c>
    </row>
    <row r="6" spans="1:13" ht="16.5" customHeight="1" x14ac:dyDescent="0.3">
      <c r="A6" s="5">
        <f>SUBTOTAL(3,$B$2:B6)-1</f>
        <v>4</v>
      </c>
      <c r="B6" s="4" t="s">
        <v>13</v>
      </c>
      <c r="C6" s="5">
        <v>97</v>
      </c>
      <c r="D6" s="5">
        <f t="shared" si="0"/>
        <v>95</v>
      </c>
      <c r="E6" s="5">
        <v>2</v>
      </c>
      <c r="F6" s="6">
        <v>1.1226851851851851E-3</v>
      </c>
      <c r="G6" s="6">
        <v>3.1250000000000001E-4</v>
      </c>
      <c r="H6" s="6">
        <v>4.3981481481481481E-4</v>
      </c>
      <c r="I6" s="6">
        <v>1.8518518518518517E-3</v>
      </c>
      <c r="J6" s="6">
        <v>8.1018518518518516E-4</v>
      </c>
      <c r="K6" s="7">
        <v>0.6804</v>
      </c>
      <c r="L6" s="7">
        <v>0.3196</v>
      </c>
      <c r="M6" s="8">
        <v>0.13</v>
      </c>
    </row>
    <row r="7" spans="1:13" ht="16.5" customHeight="1" x14ac:dyDescent="0.3">
      <c r="A7" s="5">
        <f>SUBTOTAL(3,$B$2:B7)-1</f>
        <v>5</v>
      </c>
      <c r="B7" s="4" t="s">
        <v>20</v>
      </c>
      <c r="C7" s="5">
        <v>89</v>
      </c>
      <c r="D7" s="5">
        <f t="shared" si="0"/>
        <v>86</v>
      </c>
      <c r="E7" s="5">
        <v>3</v>
      </c>
      <c r="F7" s="6">
        <v>8.6805555555555551E-4</v>
      </c>
      <c r="G7" s="6">
        <v>3.1250000000000001E-4</v>
      </c>
      <c r="H7" s="6">
        <v>3.9351851851851852E-4</v>
      </c>
      <c r="I7" s="6">
        <v>1.3657407407407409E-3</v>
      </c>
      <c r="J7" s="6">
        <v>5.4398148148148144E-4</v>
      </c>
      <c r="K7" s="7">
        <v>0.79779999999999995</v>
      </c>
      <c r="L7" s="7">
        <v>0.20219999999999999</v>
      </c>
      <c r="M7" s="8">
        <v>0.21</v>
      </c>
    </row>
    <row r="8" spans="1:13" ht="16.5" customHeight="1" x14ac:dyDescent="0.3">
      <c r="A8" s="5">
        <f>SUBTOTAL(3,$B$2:B8)-1</f>
        <v>6</v>
      </c>
      <c r="B8" s="4" t="s">
        <v>14</v>
      </c>
      <c r="C8" s="5">
        <v>43</v>
      </c>
      <c r="D8" s="5">
        <f t="shared" si="0"/>
        <v>43</v>
      </c>
      <c r="E8" s="5">
        <v>0</v>
      </c>
      <c r="F8" s="6">
        <v>7.8703703703703705E-4</v>
      </c>
      <c r="G8" s="6">
        <v>3.4722222222222222E-5</v>
      </c>
      <c r="H8" s="6">
        <v>9.2592592592592588E-5</v>
      </c>
      <c r="I8" s="6">
        <v>7.9861111111111105E-4</v>
      </c>
      <c r="J8" s="6">
        <v>7.5231481481481471E-4</v>
      </c>
      <c r="K8" s="7">
        <v>0.86050000000000004</v>
      </c>
      <c r="L8" s="7">
        <v>0.13950000000000001</v>
      </c>
      <c r="M8" s="8">
        <v>0.05</v>
      </c>
    </row>
    <row r="9" spans="1:13" ht="16.5" customHeight="1" x14ac:dyDescent="0.3">
      <c r="A9" s="5">
        <f>SUBTOTAL(3,$B$2:B9)-1</f>
        <v>7</v>
      </c>
      <c r="B9" s="4" t="s">
        <v>16</v>
      </c>
      <c r="C9" s="5">
        <v>52</v>
      </c>
      <c r="D9" s="5">
        <f t="shared" si="0"/>
        <v>51</v>
      </c>
      <c r="E9" s="5">
        <v>1</v>
      </c>
      <c r="F9" s="6">
        <v>6.8287037037037025E-4</v>
      </c>
      <c r="G9" s="6">
        <v>6.9444444444444444E-5</v>
      </c>
      <c r="H9" s="6">
        <v>9.2592592592592588E-5</v>
      </c>
      <c r="I9" s="6">
        <v>4.8611111111111104E-4</v>
      </c>
      <c r="J9" s="6">
        <v>6.018518518518519E-4</v>
      </c>
      <c r="K9" s="7">
        <v>0.88460000000000005</v>
      </c>
      <c r="L9" s="7">
        <v>0.1154</v>
      </c>
      <c r="M9" s="8">
        <v>0.08</v>
      </c>
    </row>
    <row r="10" spans="1:13" ht="16.5" customHeight="1" x14ac:dyDescent="0.3">
      <c r="A10" s="5">
        <f>SUBTOTAL(3,$B$2:B10)-1</f>
        <v>8</v>
      </c>
      <c r="B10" s="4" t="s">
        <v>18</v>
      </c>
      <c r="C10" s="5">
        <v>57</v>
      </c>
      <c r="D10" s="5">
        <f t="shared" si="0"/>
        <v>56</v>
      </c>
      <c r="E10" s="5">
        <v>1</v>
      </c>
      <c r="F10" s="6">
        <v>8.6805555555555551E-4</v>
      </c>
      <c r="G10" s="6">
        <v>9.2592592592592588E-5</v>
      </c>
      <c r="H10" s="6">
        <v>1.5046296296296297E-4</v>
      </c>
      <c r="I10" s="6">
        <v>1.1342592592592591E-3</v>
      </c>
      <c r="J10" s="6">
        <v>7.6388888888888893E-4</v>
      </c>
      <c r="K10" s="7">
        <v>0.89470000000000005</v>
      </c>
      <c r="L10" s="7">
        <v>0.1053</v>
      </c>
      <c r="M10" s="8">
        <v>0.15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60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44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531</v>
      </c>
      <c r="D13" s="13">
        <f>SUM(D3:D10)</f>
        <v>514</v>
      </c>
      <c r="E13" s="13">
        <f>SUM(E3:E10)</f>
        <v>17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B7E4-136E-4678-9705-59425469709A}">
  <dimension ref="A1:M13"/>
  <sheetViews>
    <sheetView workbookViewId="0">
      <selection activeCell="O6" sqref="O6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111</v>
      </c>
      <c r="D3" s="5">
        <f>C3-E3</f>
        <v>106</v>
      </c>
      <c r="E3" s="5">
        <v>5</v>
      </c>
      <c r="F3" s="6">
        <v>9.6064814814814808E-4</v>
      </c>
      <c r="G3" s="6">
        <v>3.8194444444444446E-4</v>
      </c>
      <c r="H3" s="6">
        <v>6.018518518518519E-4</v>
      </c>
      <c r="I3" s="6">
        <v>2.5231481481481481E-3</v>
      </c>
      <c r="J3" s="6">
        <v>5.6712962962962956E-4</v>
      </c>
      <c r="K3" s="7">
        <v>0.43240000000000001</v>
      </c>
      <c r="L3" s="7">
        <v>0.56759999999999999</v>
      </c>
      <c r="M3" s="8">
        <v>0.21</v>
      </c>
    </row>
    <row r="4" spans="1:13" ht="16.5" customHeight="1" x14ac:dyDescent="0.3">
      <c r="A4" s="5">
        <f>SUBTOTAL(3,$B$2:B4)-1</f>
        <v>2</v>
      </c>
      <c r="B4" s="4" t="s">
        <v>17</v>
      </c>
      <c r="C4" s="5">
        <v>99</v>
      </c>
      <c r="D4" s="5">
        <f t="shared" ref="D4:D10" si="0">C4-E4</f>
        <v>97</v>
      </c>
      <c r="E4" s="5">
        <v>2</v>
      </c>
      <c r="F4" s="6">
        <v>9.7222222222222209E-4</v>
      </c>
      <c r="G4" s="6">
        <v>2.4305555555555552E-4</v>
      </c>
      <c r="H4" s="6">
        <v>4.5138888888888892E-4</v>
      </c>
      <c r="I4" s="6">
        <v>1.5277777777777779E-3</v>
      </c>
      <c r="J4" s="6">
        <v>7.175925925925927E-4</v>
      </c>
      <c r="K4" s="7">
        <v>0.45450000000000002</v>
      </c>
      <c r="L4" s="7">
        <v>0.54549999999999998</v>
      </c>
      <c r="M4" s="8">
        <v>0.12</v>
      </c>
    </row>
    <row r="5" spans="1:13" ht="16.5" customHeight="1" x14ac:dyDescent="0.3">
      <c r="A5" s="5">
        <f>SUBTOTAL(3,$B$2:B5)-1</f>
        <v>3</v>
      </c>
      <c r="B5" s="4" t="s">
        <v>19</v>
      </c>
      <c r="C5" s="5">
        <v>49</v>
      </c>
      <c r="D5" s="5">
        <f t="shared" si="0"/>
        <v>49</v>
      </c>
      <c r="E5" s="5">
        <v>0</v>
      </c>
      <c r="F5" s="6">
        <v>9.9537037037037042E-4</v>
      </c>
      <c r="G5" s="6">
        <v>3.1250000000000001E-4</v>
      </c>
      <c r="H5" s="6">
        <v>5.5555555555555556E-4</v>
      </c>
      <c r="I5" s="6">
        <v>2.627314814814815E-3</v>
      </c>
      <c r="J5" s="6">
        <v>6.7129629629629625E-4</v>
      </c>
      <c r="K5" s="7">
        <v>0.53059999999999996</v>
      </c>
      <c r="L5" s="7">
        <v>0.46939999999999998</v>
      </c>
      <c r="M5" s="8">
        <v>0.2</v>
      </c>
    </row>
    <row r="6" spans="1:13" ht="16.5" customHeight="1" x14ac:dyDescent="0.3">
      <c r="A6" s="5">
        <f>SUBTOTAL(3,$B$2:B6)-1</f>
        <v>4</v>
      </c>
      <c r="B6" s="4" t="s">
        <v>13</v>
      </c>
      <c r="C6" s="5">
        <v>87</v>
      </c>
      <c r="D6" s="5">
        <f t="shared" si="0"/>
        <v>87</v>
      </c>
      <c r="E6" s="5">
        <v>0</v>
      </c>
      <c r="F6" s="6">
        <v>1.1226851851851851E-3</v>
      </c>
      <c r="G6" s="6">
        <v>3.5879629629629635E-4</v>
      </c>
      <c r="H6" s="6">
        <v>5.5555555555555556E-4</v>
      </c>
      <c r="I6" s="6">
        <v>2.8124999999999995E-3</v>
      </c>
      <c r="J6" s="6">
        <v>7.6388888888888893E-4</v>
      </c>
      <c r="K6" s="7">
        <v>0.60919999999999996</v>
      </c>
      <c r="L6" s="7">
        <v>0.39079999999999998</v>
      </c>
      <c r="M6" s="8">
        <v>0.13</v>
      </c>
    </row>
    <row r="7" spans="1:13" ht="16.5" customHeight="1" x14ac:dyDescent="0.3">
      <c r="A7" s="5">
        <f>SUBTOTAL(3,$B$2:B7)-1</f>
        <v>5</v>
      </c>
      <c r="B7" s="4" t="s">
        <v>18</v>
      </c>
      <c r="C7" s="5">
        <v>64</v>
      </c>
      <c r="D7" s="5">
        <f t="shared" si="0"/>
        <v>63</v>
      </c>
      <c r="E7" s="5">
        <v>1</v>
      </c>
      <c r="F7" s="6">
        <v>1.0532407407407407E-3</v>
      </c>
      <c r="G7" s="6">
        <v>1.8518518518518518E-4</v>
      </c>
      <c r="H7" s="6">
        <v>2.8935185185185189E-4</v>
      </c>
      <c r="I7" s="6">
        <v>1.2962962962962963E-3</v>
      </c>
      <c r="J7" s="6">
        <v>8.564814814814815E-4</v>
      </c>
      <c r="K7" s="7">
        <v>0.78120000000000001</v>
      </c>
      <c r="L7" s="7">
        <v>0.21879999999999999</v>
      </c>
      <c r="M7" s="8">
        <v>0.18</v>
      </c>
    </row>
    <row r="8" spans="1:13" ht="16.5" customHeight="1" x14ac:dyDescent="0.3">
      <c r="A8" s="5">
        <f>SUBTOTAL(3,$B$2:B8)-1</f>
        <v>6</v>
      </c>
      <c r="B8" s="4" t="s">
        <v>15</v>
      </c>
      <c r="C8" s="5">
        <v>10</v>
      </c>
      <c r="D8" s="5">
        <f t="shared" si="0"/>
        <v>10</v>
      </c>
      <c r="E8" s="5">
        <v>0</v>
      </c>
      <c r="F8" s="6">
        <v>6.2500000000000001E-4</v>
      </c>
      <c r="G8" s="6">
        <v>1.3888888888888889E-4</v>
      </c>
      <c r="H8" s="6">
        <v>2.199074074074074E-4</v>
      </c>
      <c r="I8" s="6">
        <v>6.3657407407407402E-4</v>
      </c>
      <c r="J8" s="6">
        <v>4.8611111111111104E-4</v>
      </c>
      <c r="K8" s="7">
        <v>0.8</v>
      </c>
      <c r="L8" s="7">
        <v>0.2</v>
      </c>
      <c r="M8" s="8">
        <v>0.03</v>
      </c>
    </row>
    <row r="9" spans="1:13" ht="16.5" customHeight="1" x14ac:dyDescent="0.3">
      <c r="A9" s="5">
        <f>SUBTOTAL(3,$B$2:B9)-1</f>
        <v>7</v>
      </c>
      <c r="B9" s="4" t="s">
        <v>14</v>
      </c>
      <c r="C9" s="5">
        <v>43</v>
      </c>
      <c r="D9" s="5">
        <f t="shared" si="0"/>
        <v>41</v>
      </c>
      <c r="E9" s="5">
        <v>2</v>
      </c>
      <c r="F9" s="6">
        <v>7.291666666666667E-4</v>
      </c>
      <c r="G9" s="6">
        <v>1.3888888888888889E-4</v>
      </c>
      <c r="H9" s="6">
        <v>1.7361111111111112E-4</v>
      </c>
      <c r="I9" s="6">
        <v>9.6064814814814808E-4</v>
      </c>
      <c r="J9" s="6">
        <v>5.7870370370370378E-4</v>
      </c>
      <c r="K9" s="7">
        <v>0.83720000000000006</v>
      </c>
      <c r="L9" s="7">
        <v>0.1628</v>
      </c>
      <c r="M9" s="8">
        <v>0.05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46</v>
      </c>
      <c r="D10" s="5">
        <f t="shared" si="0"/>
        <v>46</v>
      </c>
      <c r="E10" s="5">
        <v>0</v>
      </c>
      <c r="F10" s="6">
        <v>6.7129629629629625E-4</v>
      </c>
      <c r="G10" s="6">
        <v>1.1574074074074073E-4</v>
      </c>
      <c r="H10" s="6">
        <v>1.5046296296296297E-4</v>
      </c>
      <c r="I10" s="6">
        <v>1.5277777777777779E-3</v>
      </c>
      <c r="J10" s="6">
        <v>5.5555555555555556E-4</v>
      </c>
      <c r="K10" s="7">
        <v>0.86960000000000004</v>
      </c>
      <c r="L10" s="7">
        <v>0.13039999999999999</v>
      </c>
      <c r="M10" s="8">
        <v>0.08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64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31</v>
      </c>
      <c r="C12" s="16">
        <v>47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509</v>
      </c>
      <c r="D13" s="13">
        <f>SUM(D3:D10)</f>
        <v>499</v>
      </c>
      <c r="E13" s="13">
        <f>SUM(E3:E10)</f>
        <v>10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F915-F0D4-4EE0-8A16-DF54380CAD3C}">
  <dimension ref="A1:M13"/>
  <sheetViews>
    <sheetView workbookViewId="0">
      <selection activeCell="G9" sqref="G9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20</v>
      </c>
      <c r="C3" s="5">
        <v>90</v>
      </c>
      <c r="D3" s="5">
        <f t="shared" ref="D3:D10" si="0">C3-E3</f>
        <v>83</v>
      </c>
      <c r="E3" s="5">
        <v>7</v>
      </c>
      <c r="F3" s="6">
        <v>9.3750000000000007E-4</v>
      </c>
      <c r="G3" s="6">
        <v>2.5462962962962961E-4</v>
      </c>
      <c r="H3" s="6">
        <v>4.8611111111111104E-4</v>
      </c>
      <c r="I3" s="6">
        <v>1.8518518518518517E-3</v>
      </c>
      <c r="J3" s="6">
        <v>6.7129629629629625E-4</v>
      </c>
      <c r="K3" s="7">
        <v>0.5333</v>
      </c>
      <c r="L3" s="7">
        <v>0.4667</v>
      </c>
      <c r="M3" s="8">
        <v>0.19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36</v>
      </c>
      <c r="D4" s="5">
        <f t="shared" si="0"/>
        <v>34</v>
      </c>
      <c r="E4" s="5">
        <v>2</v>
      </c>
      <c r="F4" s="6">
        <v>1.0532407407407407E-3</v>
      </c>
      <c r="G4" s="6">
        <v>3.1250000000000001E-4</v>
      </c>
      <c r="H4" s="6">
        <v>5.2083333333333333E-4</v>
      </c>
      <c r="I4" s="6">
        <v>1.9328703703703704E-3</v>
      </c>
      <c r="J4" s="6">
        <v>7.291666666666667E-4</v>
      </c>
      <c r="K4" s="7">
        <v>0.61109999999999998</v>
      </c>
      <c r="L4" s="7">
        <v>0.38890000000000002</v>
      </c>
      <c r="M4" s="8">
        <v>0.22</v>
      </c>
    </row>
    <row r="5" spans="1:13" ht="16.5" customHeight="1" x14ac:dyDescent="0.3">
      <c r="A5" s="5">
        <f>SUBTOTAL(3,$B$2:B5)-1</f>
        <v>3</v>
      </c>
      <c r="B5" s="4" t="s">
        <v>17</v>
      </c>
      <c r="C5" s="5">
        <v>119</v>
      </c>
      <c r="D5" s="5">
        <f t="shared" si="0"/>
        <v>116</v>
      </c>
      <c r="E5" s="5">
        <v>3</v>
      </c>
      <c r="F5" s="6">
        <v>9.3750000000000007E-4</v>
      </c>
      <c r="G5" s="6">
        <v>3.5879629629629635E-4</v>
      </c>
      <c r="H5" s="6">
        <v>4.7453703703703704E-4</v>
      </c>
      <c r="I5" s="6">
        <v>2.0949074074074073E-3</v>
      </c>
      <c r="J5" s="6">
        <v>5.7870370370370378E-4</v>
      </c>
      <c r="K5" s="7">
        <v>0.63870000000000005</v>
      </c>
      <c r="L5" s="7">
        <v>0.36130000000000001</v>
      </c>
      <c r="M5" s="8">
        <v>0.18</v>
      </c>
    </row>
    <row r="6" spans="1:13" ht="16.5" customHeight="1" x14ac:dyDescent="0.3">
      <c r="A6" s="5">
        <f>SUBTOTAL(3,$B$2:B6)-1</f>
        <v>4</v>
      </c>
      <c r="B6" s="4" t="s">
        <v>15</v>
      </c>
      <c r="C6" s="5">
        <v>11</v>
      </c>
      <c r="D6" s="5">
        <f t="shared" si="0"/>
        <v>11</v>
      </c>
      <c r="E6" s="5">
        <v>0</v>
      </c>
      <c r="F6" s="6">
        <v>7.6388888888888893E-4</v>
      </c>
      <c r="G6" s="6">
        <v>9.2592592592592588E-5</v>
      </c>
      <c r="H6" s="6">
        <v>1.6203703703703703E-4</v>
      </c>
      <c r="I6" s="6">
        <v>4.8611111111111104E-4</v>
      </c>
      <c r="J6" s="6">
        <v>6.7129629629629625E-4</v>
      </c>
      <c r="K6" s="7">
        <v>0.72729999999999995</v>
      </c>
      <c r="L6" s="7">
        <v>0.2727</v>
      </c>
      <c r="M6" s="8">
        <v>0.03</v>
      </c>
    </row>
    <row r="7" spans="1:13" ht="16.5" customHeight="1" x14ac:dyDescent="0.3">
      <c r="A7" s="5">
        <f>SUBTOTAL(3,$B$2:B7)-1</f>
        <v>5</v>
      </c>
      <c r="B7" s="4" t="s">
        <v>16</v>
      </c>
      <c r="C7" s="5">
        <v>45</v>
      </c>
      <c r="D7" s="5">
        <f t="shared" si="0"/>
        <v>42</v>
      </c>
      <c r="E7" s="5">
        <v>3</v>
      </c>
      <c r="F7" s="6">
        <v>7.5231481481481471E-4</v>
      </c>
      <c r="G7" s="6">
        <v>1.273148148148148E-4</v>
      </c>
      <c r="H7" s="6">
        <v>1.9675925925925926E-4</v>
      </c>
      <c r="I7" s="6">
        <v>1.1921296296296296E-3</v>
      </c>
      <c r="J7" s="6">
        <v>6.2500000000000001E-4</v>
      </c>
      <c r="K7" s="7">
        <v>0.82220000000000004</v>
      </c>
      <c r="L7" s="7">
        <v>0.17780000000000001</v>
      </c>
      <c r="M7" s="8">
        <v>0.06</v>
      </c>
    </row>
    <row r="8" spans="1:13" ht="16.5" customHeight="1" x14ac:dyDescent="0.3">
      <c r="A8" s="5">
        <f>SUBTOTAL(3,$B$2:B8)-1</f>
        <v>6</v>
      </c>
      <c r="B8" s="4" t="s">
        <v>14</v>
      </c>
      <c r="C8" s="5">
        <v>32</v>
      </c>
      <c r="D8" s="5">
        <f t="shared" si="0"/>
        <v>32</v>
      </c>
      <c r="E8" s="5">
        <v>0</v>
      </c>
      <c r="F8" s="6">
        <v>6.018518518518519E-4</v>
      </c>
      <c r="G8" s="6">
        <v>4.6296296296296294E-5</v>
      </c>
      <c r="H8" s="6">
        <v>4.6296296296296294E-5</v>
      </c>
      <c r="I8" s="6">
        <v>3.5879629629629635E-4</v>
      </c>
      <c r="J8" s="6">
        <v>5.5555555555555556E-4</v>
      </c>
      <c r="K8" s="7">
        <v>0.90620000000000001</v>
      </c>
      <c r="L8" s="7">
        <v>9.3799999999999994E-2</v>
      </c>
      <c r="M8" s="8">
        <v>0.04</v>
      </c>
    </row>
    <row r="9" spans="1:13" ht="16.5" customHeight="1" x14ac:dyDescent="0.3">
      <c r="A9" s="5">
        <f>SUBTOTAL(3,$B$2:B9)-1</f>
        <v>7</v>
      </c>
      <c r="B9" s="4" t="s">
        <v>13</v>
      </c>
      <c r="C9" s="5">
        <v>36</v>
      </c>
      <c r="D9" s="5">
        <f t="shared" si="0"/>
        <v>36</v>
      </c>
      <c r="E9" s="5">
        <v>0</v>
      </c>
      <c r="F9" s="6">
        <v>8.3333333333333339E-4</v>
      </c>
      <c r="G9" s="6">
        <v>1.1574074074074073E-4</v>
      </c>
      <c r="H9" s="6">
        <v>1.7361111111111112E-4</v>
      </c>
      <c r="I9" s="6">
        <v>1.9560185185185184E-3</v>
      </c>
      <c r="J9" s="6">
        <v>7.0601851851851847E-4</v>
      </c>
      <c r="K9" s="7">
        <v>0.94440000000000002</v>
      </c>
      <c r="L9" s="7">
        <v>5.5599999999999997E-2</v>
      </c>
      <c r="M9" s="8">
        <v>0.09</v>
      </c>
    </row>
    <row r="10" spans="1:13" ht="16.5" customHeight="1" x14ac:dyDescent="0.3">
      <c r="A10" s="5">
        <f>SUBTOTAL(3,$B$2:B10)-1</f>
        <v>8</v>
      </c>
      <c r="B10" s="4" t="s">
        <v>18</v>
      </c>
      <c r="C10" s="5">
        <v>63</v>
      </c>
      <c r="D10" s="5">
        <f t="shared" si="0"/>
        <v>63</v>
      </c>
      <c r="E10" s="5">
        <v>0</v>
      </c>
      <c r="F10" s="6">
        <v>7.7546296296296304E-4</v>
      </c>
      <c r="G10" s="6">
        <v>8.1018518518518516E-5</v>
      </c>
      <c r="H10" s="6">
        <v>9.2592592592592588E-5</v>
      </c>
      <c r="I10" s="6">
        <v>5.2083333333333333E-4</v>
      </c>
      <c r="J10" s="6">
        <v>6.8287037037037025E-4</v>
      </c>
      <c r="K10" s="7">
        <v>0.96830000000000005</v>
      </c>
      <c r="L10" s="7">
        <v>3.1699999999999999E-2</v>
      </c>
      <c r="M10" s="8">
        <v>0.19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26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31</v>
      </c>
      <c r="C12" s="16">
        <v>94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432</v>
      </c>
      <c r="D13" s="13">
        <f>SUM(D3:D10)</f>
        <v>417</v>
      </c>
      <c r="E13" s="13">
        <f>SUM(E3:E10)</f>
        <v>15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B702-2B8B-4B88-9EE2-140AA1730EC1}">
  <dimension ref="A1:M13"/>
  <sheetViews>
    <sheetView workbookViewId="0">
      <selection activeCell="O5" sqref="O5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63</v>
      </c>
      <c r="D3" s="5">
        <f>C3-E3</f>
        <v>62</v>
      </c>
      <c r="E3" s="5">
        <v>1</v>
      </c>
      <c r="F3" s="6">
        <v>7.407407407407407E-4</v>
      </c>
      <c r="G3" s="6">
        <v>1.7361111111111112E-4</v>
      </c>
      <c r="H3" s="6">
        <v>3.0092592592592595E-4</v>
      </c>
      <c r="I3" s="6">
        <v>1.5277777777777779E-3</v>
      </c>
      <c r="J3" s="6">
        <v>5.5555555555555556E-4</v>
      </c>
      <c r="K3" s="7">
        <v>0.746</v>
      </c>
      <c r="L3" s="7">
        <v>0.254</v>
      </c>
      <c r="M3" s="8">
        <v>0.23</v>
      </c>
    </row>
    <row r="4" spans="1:13" ht="16.5" customHeight="1" x14ac:dyDescent="0.3">
      <c r="A4" s="5">
        <f>SUBTOTAL(3,$B$2:B4)-1</f>
        <v>2</v>
      </c>
      <c r="B4" s="4" t="s">
        <v>20</v>
      </c>
      <c r="C4" s="5">
        <v>61</v>
      </c>
      <c r="D4" s="5">
        <f t="shared" ref="D4:D10" si="0">C4-E4</f>
        <v>58</v>
      </c>
      <c r="E4" s="5">
        <v>3</v>
      </c>
      <c r="F4" s="6">
        <v>1.0185185185185186E-3</v>
      </c>
      <c r="G4" s="6">
        <v>1.9675925925925926E-4</v>
      </c>
      <c r="H4" s="6">
        <v>2.7777777777777778E-4</v>
      </c>
      <c r="I4" s="6">
        <v>1.0879629629629629E-3</v>
      </c>
      <c r="J4" s="6">
        <v>8.1018518518518516E-4</v>
      </c>
      <c r="K4" s="7">
        <v>0.78690000000000004</v>
      </c>
      <c r="L4" s="7">
        <v>0.21310000000000001</v>
      </c>
      <c r="M4" s="8">
        <v>0.21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33</v>
      </c>
      <c r="D5" s="5">
        <f t="shared" si="0"/>
        <v>30</v>
      </c>
      <c r="E5" s="5">
        <v>3</v>
      </c>
      <c r="F5" s="6">
        <v>8.1018518518518516E-4</v>
      </c>
      <c r="G5" s="6">
        <v>1.273148148148148E-4</v>
      </c>
      <c r="H5" s="6">
        <v>2.0833333333333335E-4</v>
      </c>
      <c r="I5" s="6">
        <v>1.1342592592592591E-3</v>
      </c>
      <c r="J5" s="6">
        <v>6.8287037037037025E-4</v>
      </c>
      <c r="K5" s="7">
        <v>0.81820000000000004</v>
      </c>
      <c r="L5" s="7">
        <v>0.18179999999999999</v>
      </c>
      <c r="M5" s="8">
        <v>0.12</v>
      </c>
    </row>
    <row r="6" spans="1:13" ht="16.5" customHeight="1" x14ac:dyDescent="0.3">
      <c r="A6" s="5">
        <f>SUBTOTAL(3,$B$2:B6)-1</f>
        <v>4</v>
      </c>
      <c r="B6" s="4" t="s">
        <v>15</v>
      </c>
      <c r="C6" s="5">
        <v>14</v>
      </c>
      <c r="D6" s="5">
        <f t="shared" si="0"/>
        <v>14</v>
      </c>
      <c r="E6" s="5">
        <v>0</v>
      </c>
      <c r="F6" s="6">
        <v>7.9861111111111105E-4</v>
      </c>
      <c r="G6" s="6">
        <v>6.9444444444444444E-5</v>
      </c>
      <c r="H6" s="6">
        <v>1.5046296296296297E-4</v>
      </c>
      <c r="I6" s="6">
        <v>8.564814814814815E-4</v>
      </c>
      <c r="J6" s="6">
        <v>7.291666666666667E-4</v>
      </c>
      <c r="K6" s="7">
        <v>0.85709999999999997</v>
      </c>
      <c r="L6" s="7">
        <v>0.1429</v>
      </c>
      <c r="M6" s="8">
        <v>0.06</v>
      </c>
    </row>
    <row r="7" spans="1:13" ht="16.5" customHeight="1" x14ac:dyDescent="0.3">
      <c r="A7" s="5">
        <f>SUBTOTAL(3,$B$2:B7)-1</f>
        <v>5</v>
      </c>
      <c r="B7" s="4" t="s">
        <v>14</v>
      </c>
      <c r="C7" s="5">
        <v>17</v>
      </c>
      <c r="D7" s="5">
        <f t="shared" si="0"/>
        <v>17</v>
      </c>
      <c r="E7" s="5">
        <v>0</v>
      </c>
      <c r="F7" s="6">
        <v>6.018518518518519E-4</v>
      </c>
      <c r="G7" s="6">
        <v>1.0416666666666667E-4</v>
      </c>
      <c r="H7" s="6">
        <v>1.1574074074074073E-4</v>
      </c>
      <c r="I7" s="6">
        <v>5.5555555555555556E-4</v>
      </c>
      <c r="J7" s="6">
        <v>4.8611111111111104E-4</v>
      </c>
      <c r="K7" s="7">
        <v>0.88239999999999996</v>
      </c>
      <c r="L7" s="7">
        <v>0.1176</v>
      </c>
      <c r="M7" s="8">
        <v>0.02</v>
      </c>
    </row>
    <row r="8" spans="1:13" ht="16.5" customHeight="1" x14ac:dyDescent="0.3">
      <c r="A8" s="5">
        <f>SUBTOTAL(3,$B$2:B8)-1</f>
        <v>6</v>
      </c>
      <c r="B8" s="4" t="s">
        <v>19</v>
      </c>
      <c r="C8" s="5">
        <v>20</v>
      </c>
      <c r="D8" s="5">
        <f t="shared" si="0"/>
        <v>20</v>
      </c>
      <c r="E8" s="5">
        <v>0</v>
      </c>
      <c r="F8" s="6">
        <v>1.2847222222222223E-3</v>
      </c>
      <c r="G8" s="6">
        <v>1.7361111111111112E-4</v>
      </c>
      <c r="H8" s="6">
        <v>1.9675925925925926E-4</v>
      </c>
      <c r="I8" s="6">
        <v>7.0601851851851847E-4</v>
      </c>
      <c r="J8" s="6">
        <v>1.0995370370370371E-3</v>
      </c>
      <c r="K8" s="7">
        <v>0.95</v>
      </c>
      <c r="L8" s="7">
        <v>0.05</v>
      </c>
      <c r="M8" s="8">
        <v>0.15</v>
      </c>
    </row>
    <row r="9" spans="1:13" ht="16.5" customHeight="1" x14ac:dyDescent="0.3">
      <c r="A9" s="5">
        <f>SUBTOTAL(3,$B$2:B9)-1</f>
        <v>7</v>
      </c>
      <c r="B9" s="4" t="s">
        <v>16</v>
      </c>
      <c r="C9" s="5">
        <v>23</v>
      </c>
      <c r="D9" s="5">
        <f t="shared" si="0"/>
        <v>23</v>
      </c>
      <c r="E9" s="5">
        <v>0</v>
      </c>
      <c r="F9" s="6">
        <v>6.7129629629629625E-4</v>
      </c>
      <c r="G9" s="6">
        <v>8.1018518518518516E-5</v>
      </c>
      <c r="H9" s="6">
        <v>6.9444444444444444E-5</v>
      </c>
      <c r="I9" s="6">
        <v>1.0532407407407407E-3</v>
      </c>
      <c r="J9" s="6">
        <v>5.7870370370370378E-4</v>
      </c>
      <c r="K9" s="7">
        <v>0.95650000000000002</v>
      </c>
      <c r="L9" s="7">
        <v>4.3499999999999997E-2</v>
      </c>
      <c r="M9" s="8">
        <v>0.08</v>
      </c>
    </row>
    <row r="10" spans="1:13" ht="16.5" customHeight="1" x14ac:dyDescent="0.3">
      <c r="A10" s="5">
        <f>SUBTOTAL(3,$B$2:B10)-1</f>
        <v>8</v>
      </c>
      <c r="B10" s="4" t="s">
        <v>18</v>
      </c>
      <c r="C10" s="5">
        <v>33</v>
      </c>
      <c r="D10" s="5">
        <f t="shared" si="0"/>
        <v>33</v>
      </c>
      <c r="E10" s="5">
        <v>0</v>
      </c>
      <c r="F10" s="6">
        <v>6.134259259259259E-4</v>
      </c>
      <c r="G10" s="6">
        <v>5.7870370370370366E-5</v>
      </c>
      <c r="H10" s="6">
        <v>5.7870370370370366E-5</v>
      </c>
      <c r="I10" s="6">
        <v>3.1250000000000001E-4</v>
      </c>
      <c r="J10" s="6">
        <v>5.5555555555555556E-4</v>
      </c>
      <c r="K10" s="7">
        <v>0.96970000000000001</v>
      </c>
      <c r="L10" s="7">
        <v>3.0300000000000001E-2</v>
      </c>
      <c r="M10" s="8">
        <v>0.13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37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0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264</v>
      </c>
      <c r="D13" s="13">
        <f>SUM(D3:D10)</f>
        <v>257</v>
      </c>
      <c r="E13" s="13">
        <f>SUM(E3:E10)</f>
        <v>7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9749-A104-4185-B9F0-2F4674BF8403}">
  <dimension ref="A1:M13"/>
  <sheetViews>
    <sheetView workbookViewId="0">
      <selection activeCell="O7" sqref="O7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67</v>
      </c>
      <c r="D3" s="5">
        <f>C3-E3</f>
        <v>62</v>
      </c>
      <c r="E3" s="5">
        <v>5</v>
      </c>
      <c r="F3" s="6">
        <v>9.9537037037037042E-4</v>
      </c>
      <c r="G3" s="6">
        <v>2.5462962962962961E-4</v>
      </c>
      <c r="H3" s="6">
        <v>3.5879629629629635E-4</v>
      </c>
      <c r="I3" s="6">
        <v>1.8981481481481482E-3</v>
      </c>
      <c r="J3" s="6">
        <v>7.291666666666667E-4</v>
      </c>
      <c r="K3" s="7">
        <v>0.76119999999999999</v>
      </c>
      <c r="L3" s="7">
        <v>0.23880000000000001</v>
      </c>
      <c r="M3" s="8">
        <v>0.14000000000000001</v>
      </c>
    </row>
    <row r="4" spans="1:13" ht="16.5" customHeight="1" x14ac:dyDescent="0.3">
      <c r="A4" s="5">
        <f>SUBTOTAL(3,$B$2:B4)-1</f>
        <v>2</v>
      </c>
      <c r="B4" s="4" t="s">
        <v>20</v>
      </c>
      <c r="C4" s="5">
        <v>68</v>
      </c>
      <c r="D4" s="5">
        <f t="shared" ref="D4:D10" si="0">C4-E4</f>
        <v>65</v>
      </c>
      <c r="E4" s="5">
        <v>3</v>
      </c>
      <c r="F4" s="6">
        <v>6.2500000000000001E-4</v>
      </c>
      <c r="G4" s="6">
        <v>1.0416666666666667E-4</v>
      </c>
      <c r="H4" s="6">
        <v>2.0833333333333335E-4</v>
      </c>
      <c r="I4" s="6">
        <v>1.3078703703703705E-3</v>
      </c>
      <c r="J4" s="6">
        <v>5.0925925925925921E-4</v>
      </c>
      <c r="K4" s="7">
        <v>0.82350000000000001</v>
      </c>
      <c r="L4" s="7">
        <v>0.17649999999999999</v>
      </c>
      <c r="M4" s="8">
        <v>0.21</v>
      </c>
    </row>
    <row r="5" spans="1:13" ht="16.5" customHeight="1" x14ac:dyDescent="0.3">
      <c r="A5" s="5">
        <f>SUBTOTAL(3,$B$2:B5)-1</f>
        <v>3</v>
      </c>
      <c r="B5" s="4" t="s">
        <v>18</v>
      </c>
      <c r="C5" s="5">
        <v>49</v>
      </c>
      <c r="D5" s="5">
        <f t="shared" si="0"/>
        <v>49</v>
      </c>
      <c r="E5" s="5">
        <v>0</v>
      </c>
      <c r="F5" s="6">
        <v>1.0763888888888889E-3</v>
      </c>
      <c r="G5" s="6">
        <v>1.273148148148148E-4</v>
      </c>
      <c r="H5" s="6">
        <v>1.5046296296296297E-4</v>
      </c>
      <c r="I5" s="6">
        <v>9.7222222222222209E-4</v>
      </c>
      <c r="J5" s="6">
        <v>9.3750000000000007E-4</v>
      </c>
      <c r="K5" s="7">
        <v>0.89800000000000002</v>
      </c>
      <c r="L5" s="7">
        <v>0.10199999999999999</v>
      </c>
      <c r="M5" s="8">
        <v>0.13</v>
      </c>
    </row>
    <row r="6" spans="1:13" ht="16.5" customHeight="1" x14ac:dyDescent="0.3">
      <c r="A6" s="5">
        <f>SUBTOTAL(3,$B$2:B6)-1</f>
        <v>4</v>
      </c>
      <c r="B6" s="4" t="s">
        <v>13</v>
      </c>
      <c r="C6" s="5">
        <v>40</v>
      </c>
      <c r="D6" s="5">
        <f t="shared" si="0"/>
        <v>39</v>
      </c>
      <c r="E6" s="5">
        <v>1</v>
      </c>
      <c r="F6" s="6">
        <v>9.1435185185185185E-4</v>
      </c>
      <c r="G6" s="6">
        <v>1.5046296296296297E-4</v>
      </c>
      <c r="H6" s="6">
        <v>1.9675925925925926E-4</v>
      </c>
      <c r="I6" s="6">
        <v>1.0879629629629629E-3</v>
      </c>
      <c r="J6" s="6">
        <v>7.5231481481481471E-4</v>
      </c>
      <c r="K6" s="7">
        <v>0.9</v>
      </c>
      <c r="L6" s="7">
        <v>0.1</v>
      </c>
      <c r="M6" s="8">
        <v>0.14000000000000001</v>
      </c>
    </row>
    <row r="7" spans="1:13" ht="16.5" customHeight="1" x14ac:dyDescent="0.3">
      <c r="A7" s="5">
        <f>SUBTOTAL(3,$B$2:B7)-1</f>
        <v>5</v>
      </c>
      <c r="B7" s="4" t="s">
        <v>15</v>
      </c>
      <c r="C7" s="5">
        <v>11</v>
      </c>
      <c r="D7" s="5">
        <f t="shared" si="0"/>
        <v>11</v>
      </c>
      <c r="E7" s="5">
        <v>0</v>
      </c>
      <c r="F7" s="6">
        <v>7.175925925925927E-4</v>
      </c>
      <c r="G7" s="6">
        <v>1.5046296296296297E-4</v>
      </c>
      <c r="H7" s="6">
        <v>2.3148148148148146E-4</v>
      </c>
      <c r="I7" s="6">
        <v>1.0648148148148147E-3</v>
      </c>
      <c r="J7" s="6">
        <v>5.6712962962962956E-4</v>
      </c>
      <c r="K7" s="7">
        <v>0.90910000000000002</v>
      </c>
      <c r="L7" s="7">
        <v>9.0899999999999995E-2</v>
      </c>
      <c r="M7" s="8">
        <v>0.05</v>
      </c>
    </row>
    <row r="8" spans="1:13" ht="16.5" customHeight="1" x14ac:dyDescent="0.3">
      <c r="A8" s="5">
        <f>SUBTOTAL(3,$B$2:B8)-1</f>
        <v>6</v>
      </c>
      <c r="B8" s="4" t="s">
        <v>16</v>
      </c>
      <c r="C8" s="5">
        <v>36</v>
      </c>
      <c r="D8" s="5">
        <f t="shared" si="0"/>
        <v>34</v>
      </c>
      <c r="E8" s="5">
        <v>2</v>
      </c>
      <c r="F8" s="6">
        <v>7.6388888888888893E-4</v>
      </c>
      <c r="G8" s="6">
        <v>8.1018518518518516E-5</v>
      </c>
      <c r="H8" s="6">
        <v>1.0416666666666667E-4</v>
      </c>
      <c r="I8" s="6">
        <v>6.7129629629629625E-4</v>
      </c>
      <c r="J8" s="6">
        <v>6.7129629629629625E-4</v>
      </c>
      <c r="K8" s="7">
        <v>0.91669999999999996</v>
      </c>
      <c r="L8" s="7">
        <v>8.3299999999999999E-2</v>
      </c>
      <c r="M8" s="8">
        <v>0.06</v>
      </c>
    </row>
    <row r="9" spans="1:13" ht="16.5" customHeight="1" x14ac:dyDescent="0.3">
      <c r="A9" s="5">
        <f>SUBTOTAL(3,$B$2:B9)-1</f>
        <v>7</v>
      </c>
      <c r="B9" s="4" t="s">
        <v>19</v>
      </c>
      <c r="C9" s="5">
        <v>25</v>
      </c>
      <c r="D9" s="5">
        <f t="shared" si="0"/>
        <v>25</v>
      </c>
      <c r="E9" s="5">
        <v>0</v>
      </c>
      <c r="F9" s="6">
        <v>6.7129629629629625E-4</v>
      </c>
      <c r="G9" s="6">
        <v>1.6203703703703703E-4</v>
      </c>
      <c r="H9" s="6">
        <v>2.0833333333333335E-4</v>
      </c>
      <c r="I9" s="6">
        <v>9.7222222222222209E-4</v>
      </c>
      <c r="J9" s="6">
        <v>4.9768518518518521E-4</v>
      </c>
      <c r="K9" s="7">
        <v>0.92</v>
      </c>
      <c r="L9" s="7">
        <v>0.08</v>
      </c>
      <c r="M9" s="8">
        <v>0.17</v>
      </c>
    </row>
    <row r="10" spans="1:13" ht="16.5" customHeight="1" x14ac:dyDescent="0.3">
      <c r="A10" s="5">
        <f>SUBTOTAL(3,$B$2:B10)-1</f>
        <v>8</v>
      </c>
      <c r="B10" s="4" t="s">
        <v>14</v>
      </c>
      <c r="C10" s="5">
        <v>33</v>
      </c>
      <c r="D10" s="5">
        <f t="shared" si="0"/>
        <v>33</v>
      </c>
      <c r="E10" s="5">
        <v>0</v>
      </c>
      <c r="F10" s="6">
        <v>7.8703703703703705E-4</v>
      </c>
      <c r="G10" s="6">
        <v>4.6296296296296294E-5</v>
      </c>
      <c r="H10" s="6">
        <v>5.7870370370370366E-5</v>
      </c>
      <c r="I10" s="6">
        <v>3.7037037037037035E-4</v>
      </c>
      <c r="J10" s="6">
        <v>7.291666666666667E-4</v>
      </c>
      <c r="K10" s="7">
        <v>0.93940000000000001</v>
      </c>
      <c r="L10" s="7">
        <v>6.0600000000000001E-2</v>
      </c>
      <c r="M10" s="8">
        <v>0.1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26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10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329</v>
      </c>
      <c r="D13" s="13">
        <f>SUM(D3:D10)</f>
        <v>318</v>
      </c>
      <c r="E13" s="13">
        <f>SUM(E3:E10)</f>
        <v>11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A873-80CA-43AB-BB41-AAF9D5DED2F8}">
  <dimension ref="A1:M13"/>
  <sheetViews>
    <sheetView workbookViewId="0">
      <selection activeCell="C12" sqref="C12:E12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75</v>
      </c>
      <c r="D3" s="5">
        <v>73</v>
      </c>
      <c r="E3" s="5">
        <v>2</v>
      </c>
      <c r="F3" s="6">
        <v>1.1458333333333333E-3</v>
      </c>
      <c r="G3" s="6">
        <v>2.3148148148148146E-4</v>
      </c>
      <c r="H3" s="6">
        <v>3.7037037037037035E-4</v>
      </c>
      <c r="I3" s="6">
        <v>1.8402777777777777E-3</v>
      </c>
      <c r="J3" s="6">
        <v>9.0277777777777784E-4</v>
      </c>
      <c r="K3" s="7">
        <v>0.72</v>
      </c>
      <c r="L3" s="7">
        <v>0.28000000000000003</v>
      </c>
      <c r="M3" s="8">
        <v>0.15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29</v>
      </c>
      <c r="D4" s="5">
        <v>29</v>
      </c>
      <c r="E4" s="5">
        <v>0</v>
      </c>
      <c r="F4" s="6">
        <v>1.0648148148148147E-3</v>
      </c>
      <c r="G4" s="6">
        <v>2.4305555555555552E-4</v>
      </c>
      <c r="H4" s="6">
        <v>3.0092592592592595E-4</v>
      </c>
      <c r="I4" s="6">
        <v>3.1481481481481482E-3</v>
      </c>
      <c r="J4" s="6">
        <v>8.1018518518518516E-4</v>
      </c>
      <c r="K4" s="7">
        <v>0.8276</v>
      </c>
      <c r="L4" s="7">
        <v>0.1724</v>
      </c>
      <c r="M4" s="8">
        <v>0.22</v>
      </c>
    </row>
    <row r="5" spans="1:13" ht="16.5" customHeight="1" x14ac:dyDescent="0.3">
      <c r="A5" s="5">
        <f>SUBTOTAL(3,$B$2:B5)-1</f>
        <v>3</v>
      </c>
      <c r="B5" s="4" t="s">
        <v>15</v>
      </c>
      <c r="C5" s="5">
        <v>12</v>
      </c>
      <c r="D5" s="5">
        <v>11</v>
      </c>
      <c r="E5" s="5">
        <v>1</v>
      </c>
      <c r="F5" s="6">
        <v>9.8379629629629642E-4</v>
      </c>
      <c r="G5" s="6">
        <v>6.9444444444444444E-5</v>
      </c>
      <c r="H5" s="6">
        <v>1.8518518518518518E-4</v>
      </c>
      <c r="I5" s="6">
        <v>1.3194444444444443E-3</v>
      </c>
      <c r="J5" s="6">
        <v>9.1435185185185185E-4</v>
      </c>
      <c r="K5" s="7">
        <v>0.83330000000000004</v>
      </c>
      <c r="L5" s="7">
        <v>0.16669999999999999</v>
      </c>
      <c r="M5" s="8">
        <v>7.0000000000000007E-2</v>
      </c>
    </row>
    <row r="6" spans="1:13" ht="16.5" customHeight="1" x14ac:dyDescent="0.3">
      <c r="A6" s="5">
        <f>SUBTOTAL(3,$B$2:B6)-1</f>
        <v>4</v>
      </c>
      <c r="B6" s="4" t="s">
        <v>18</v>
      </c>
      <c r="C6" s="5">
        <v>44</v>
      </c>
      <c r="D6" s="5">
        <v>44</v>
      </c>
      <c r="E6" s="5">
        <v>0</v>
      </c>
      <c r="F6" s="6">
        <v>7.8703703703703705E-4</v>
      </c>
      <c r="G6" s="6">
        <v>1.0416666666666667E-4</v>
      </c>
      <c r="H6" s="6">
        <v>1.273148148148148E-4</v>
      </c>
      <c r="I6" s="6">
        <v>7.7546296296296304E-4</v>
      </c>
      <c r="J6" s="6">
        <v>6.7129629629629625E-4</v>
      </c>
      <c r="K6" s="7">
        <v>0.86360000000000003</v>
      </c>
      <c r="L6" s="7">
        <v>0.13639999999999999</v>
      </c>
      <c r="M6" s="8">
        <v>0.2</v>
      </c>
    </row>
    <row r="7" spans="1:13" ht="16.5" customHeight="1" x14ac:dyDescent="0.3">
      <c r="A7" s="5">
        <f>SUBTOTAL(3,$B$2:B7)-1</f>
        <v>5</v>
      </c>
      <c r="B7" s="4" t="s">
        <v>20</v>
      </c>
      <c r="C7" s="5">
        <v>71</v>
      </c>
      <c r="D7" s="5">
        <v>71</v>
      </c>
      <c r="E7" s="5">
        <v>0</v>
      </c>
      <c r="F7" s="6">
        <v>6.8287037037037025E-4</v>
      </c>
      <c r="G7" s="6">
        <v>1.5046296296296297E-4</v>
      </c>
      <c r="H7" s="6">
        <v>2.0833333333333335E-4</v>
      </c>
      <c r="I7" s="6">
        <v>1.1921296296296296E-3</v>
      </c>
      <c r="J7" s="6">
        <v>5.3240740740740744E-4</v>
      </c>
      <c r="K7" s="7">
        <v>0.90139999999999998</v>
      </c>
      <c r="L7" s="7">
        <v>9.8599999999999993E-2</v>
      </c>
      <c r="M7" s="8">
        <v>0.15</v>
      </c>
    </row>
    <row r="8" spans="1:13" ht="16.5" customHeight="1" x14ac:dyDescent="0.3">
      <c r="A8" s="5">
        <f>SUBTOTAL(3,$B$2:B8)-1</f>
        <v>6</v>
      </c>
      <c r="B8" s="4" t="s">
        <v>16</v>
      </c>
      <c r="C8" s="5">
        <v>22</v>
      </c>
      <c r="D8" s="5">
        <v>21</v>
      </c>
      <c r="E8" s="5">
        <v>1</v>
      </c>
      <c r="F8" s="6">
        <v>6.5972222222222213E-4</v>
      </c>
      <c r="G8" s="6">
        <v>3.4722222222222222E-5</v>
      </c>
      <c r="H8" s="6">
        <v>5.7870370370370366E-5</v>
      </c>
      <c r="I8" s="6">
        <v>4.5138888888888892E-4</v>
      </c>
      <c r="J8" s="6">
        <v>6.2500000000000001E-4</v>
      </c>
      <c r="K8" s="7">
        <v>0.90910000000000002</v>
      </c>
      <c r="L8" s="7">
        <v>9.0899999999999995E-2</v>
      </c>
      <c r="M8" s="8">
        <v>0.05</v>
      </c>
    </row>
    <row r="9" spans="1:13" ht="16.5" customHeight="1" x14ac:dyDescent="0.3">
      <c r="A9" s="5">
        <f>SUBTOTAL(3,$B$2:B9)-1</f>
        <v>7</v>
      </c>
      <c r="B9" s="4" t="s">
        <v>14</v>
      </c>
      <c r="C9" s="5">
        <v>18</v>
      </c>
      <c r="D9" s="5">
        <v>18</v>
      </c>
      <c r="E9" s="5">
        <v>0</v>
      </c>
      <c r="F9" s="6">
        <v>7.9861111111111105E-4</v>
      </c>
      <c r="G9" s="6">
        <v>3.4722222222222222E-5</v>
      </c>
      <c r="H9" s="6">
        <v>1.0416666666666667E-4</v>
      </c>
      <c r="I9" s="6">
        <v>1.1226851851851851E-3</v>
      </c>
      <c r="J9" s="6">
        <v>7.5231481481481471E-4</v>
      </c>
      <c r="K9" s="7">
        <v>0.94440000000000002</v>
      </c>
      <c r="L9" s="7">
        <v>5.5599999999999997E-2</v>
      </c>
      <c r="M9" s="8">
        <v>0.04</v>
      </c>
    </row>
    <row r="10" spans="1:13" ht="16.5" customHeight="1" x14ac:dyDescent="0.3">
      <c r="A10" s="5">
        <f>SUBTOTAL(3,$B$2:B10)-1</f>
        <v>8</v>
      </c>
      <c r="B10" s="4" t="s">
        <v>13</v>
      </c>
      <c r="C10" s="5">
        <v>37</v>
      </c>
      <c r="D10" s="5">
        <v>37</v>
      </c>
      <c r="E10" s="5">
        <v>0</v>
      </c>
      <c r="F10" s="6">
        <v>1.0300925925925926E-3</v>
      </c>
      <c r="G10" s="6">
        <v>2.4305555555555552E-4</v>
      </c>
      <c r="H10" s="6">
        <v>2.5462962962962961E-4</v>
      </c>
      <c r="I10" s="6">
        <v>1.689814814814815E-3</v>
      </c>
      <c r="J10" s="6">
        <v>7.7546296296296304E-4</v>
      </c>
      <c r="K10" s="7">
        <v>0.97299999999999998</v>
      </c>
      <c r="L10" s="7">
        <v>2.7E-2</v>
      </c>
      <c r="M10" s="8">
        <v>0.12</v>
      </c>
    </row>
    <row r="11" spans="1:13" ht="16.5" customHeight="1" x14ac:dyDescent="0.3">
      <c r="A11" s="5">
        <f>SUBTOTAL(3,$B$2:B11)-1</f>
        <v>9</v>
      </c>
      <c r="B11" s="9" t="s">
        <v>34</v>
      </c>
      <c r="C11" s="16">
        <v>42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18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308</v>
      </c>
      <c r="D13" s="13">
        <f>SUM(D3:D10)</f>
        <v>304</v>
      </c>
      <c r="E13" s="13">
        <f>SUM(E3:E10)</f>
        <v>4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2C07-ED6E-421A-9715-B4CE65B34730}">
  <dimension ref="A1:M13"/>
  <sheetViews>
    <sheetView workbookViewId="0">
      <selection activeCell="E10" sqref="E10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91</v>
      </c>
      <c r="D3" s="5">
        <v>89</v>
      </c>
      <c r="E3" s="5">
        <v>2</v>
      </c>
      <c r="F3" s="6">
        <v>9.8379629629629642E-4</v>
      </c>
      <c r="G3" s="6">
        <v>1.7361111111111112E-4</v>
      </c>
      <c r="H3" s="6">
        <v>2.8935185185185189E-4</v>
      </c>
      <c r="I3" s="6">
        <v>1.1342592592592591E-3</v>
      </c>
      <c r="J3" s="6">
        <v>8.1018518518518516E-4</v>
      </c>
      <c r="K3" s="7">
        <v>0.63739999999999997</v>
      </c>
      <c r="L3" s="7">
        <v>0.36259999999999998</v>
      </c>
      <c r="M3" s="8">
        <v>0.16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37</v>
      </c>
      <c r="D4" s="5">
        <v>37</v>
      </c>
      <c r="E4" s="5">
        <v>0</v>
      </c>
      <c r="F4" s="6">
        <v>9.1435185185185185E-4</v>
      </c>
      <c r="G4" s="6">
        <v>1.9675925925925926E-4</v>
      </c>
      <c r="H4" s="6">
        <v>4.7453703703703704E-4</v>
      </c>
      <c r="I4" s="6">
        <v>2.9166666666666668E-3</v>
      </c>
      <c r="J4" s="6">
        <v>7.0601851851851847E-4</v>
      </c>
      <c r="K4" s="7">
        <v>0.64859999999999995</v>
      </c>
      <c r="L4" s="7">
        <v>0.35139999999999999</v>
      </c>
      <c r="M4" s="8">
        <v>0.21</v>
      </c>
    </row>
    <row r="5" spans="1:13" ht="16.5" customHeight="1" x14ac:dyDescent="0.3">
      <c r="A5" s="5">
        <f>SUBTOTAL(3,$B$2:B5)-1</f>
        <v>3</v>
      </c>
      <c r="B5" s="4" t="s">
        <v>20</v>
      </c>
      <c r="C5" s="5">
        <v>47</v>
      </c>
      <c r="D5" s="5">
        <v>44</v>
      </c>
      <c r="E5" s="5">
        <v>3</v>
      </c>
      <c r="F5" s="6">
        <v>6.2500000000000001E-4</v>
      </c>
      <c r="G5" s="6">
        <v>1.1574074074074073E-4</v>
      </c>
      <c r="H5" s="6">
        <v>2.6620370370370372E-4</v>
      </c>
      <c r="I5" s="6">
        <v>1.5393518518518519E-3</v>
      </c>
      <c r="J5" s="6">
        <v>4.9768518518518521E-4</v>
      </c>
      <c r="K5" s="7">
        <v>0.78720000000000001</v>
      </c>
      <c r="L5" s="7">
        <v>0.21279999999999999</v>
      </c>
      <c r="M5" s="8">
        <v>0.16</v>
      </c>
    </row>
    <row r="6" spans="1:13" ht="16.5" customHeight="1" x14ac:dyDescent="0.3">
      <c r="A6" s="5">
        <f>SUBTOTAL(3,$B$2:B6)-1</f>
        <v>4</v>
      </c>
      <c r="B6" s="4" t="s">
        <v>13</v>
      </c>
      <c r="C6" s="5">
        <v>46</v>
      </c>
      <c r="D6" s="5">
        <v>44</v>
      </c>
      <c r="E6" s="5">
        <v>2</v>
      </c>
      <c r="F6" s="6">
        <v>9.3750000000000007E-4</v>
      </c>
      <c r="G6" s="6">
        <v>2.5462962962962961E-4</v>
      </c>
      <c r="H6" s="6">
        <v>3.4722222222222224E-4</v>
      </c>
      <c r="I6" s="6">
        <v>1.9791666666666668E-3</v>
      </c>
      <c r="J6" s="6">
        <v>6.8287037037037025E-4</v>
      </c>
      <c r="K6" s="7">
        <v>0.82609999999999995</v>
      </c>
      <c r="L6" s="7">
        <v>0.1739</v>
      </c>
      <c r="M6" s="8">
        <v>0.16</v>
      </c>
    </row>
    <row r="7" spans="1:13" ht="16.5" customHeight="1" x14ac:dyDescent="0.3">
      <c r="A7" s="5">
        <f>SUBTOTAL(3,$B$2:B7)-1</f>
        <v>5</v>
      </c>
      <c r="B7" s="4" t="s">
        <v>18</v>
      </c>
      <c r="C7" s="5">
        <v>63</v>
      </c>
      <c r="D7" s="5">
        <v>61</v>
      </c>
      <c r="E7" s="5">
        <v>2</v>
      </c>
      <c r="F7" s="6">
        <v>8.1018518518518516E-4</v>
      </c>
      <c r="G7" s="6">
        <v>9.2592592592592588E-5</v>
      </c>
      <c r="H7" s="6">
        <v>1.3888888888888889E-4</v>
      </c>
      <c r="I7" s="6">
        <v>1.0648148148148147E-3</v>
      </c>
      <c r="J7" s="6">
        <v>7.175925925925927E-4</v>
      </c>
      <c r="K7" s="7">
        <v>0.85709999999999997</v>
      </c>
      <c r="L7" s="7">
        <v>0.1429</v>
      </c>
      <c r="M7" s="8">
        <v>0.12</v>
      </c>
    </row>
    <row r="8" spans="1:13" ht="16.5" customHeight="1" x14ac:dyDescent="0.3">
      <c r="A8" s="5">
        <f>SUBTOTAL(3,$B$2:B8)-1</f>
        <v>6</v>
      </c>
      <c r="B8" s="4" t="s">
        <v>15</v>
      </c>
      <c r="C8" s="5">
        <v>10</v>
      </c>
      <c r="D8" s="5">
        <v>9</v>
      </c>
      <c r="E8" s="5">
        <v>1</v>
      </c>
      <c r="F8" s="6">
        <v>7.291666666666667E-4</v>
      </c>
      <c r="G8" s="6">
        <v>1.8518518518518518E-4</v>
      </c>
      <c r="H8" s="6">
        <v>3.0092592592592595E-4</v>
      </c>
      <c r="I8" s="6">
        <v>1.3541666666666667E-3</v>
      </c>
      <c r="J8" s="6">
        <v>5.4398148148148144E-4</v>
      </c>
      <c r="K8" s="7">
        <v>0.9</v>
      </c>
      <c r="L8" s="7">
        <v>0.1</v>
      </c>
      <c r="M8" s="8">
        <v>0.04</v>
      </c>
    </row>
    <row r="9" spans="1:13" ht="16.5" customHeight="1" x14ac:dyDescent="0.3">
      <c r="A9" s="5">
        <f>SUBTOTAL(3,$B$2:B9)-1</f>
        <v>7</v>
      </c>
      <c r="B9" s="4" t="s">
        <v>16</v>
      </c>
      <c r="C9" s="5">
        <v>41</v>
      </c>
      <c r="D9" s="5">
        <v>39</v>
      </c>
      <c r="E9" s="5">
        <v>2</v>
      </c>
      <c r="F9" s="6">
        <v>7.5231481481481471E-4</v>
      </c>
      <c r="G9" s="6">
        <v>3.4722222222222222E-5</v>
      </c>
      <c r="H9" s="6">
        <v>8.1018518518518516E-5</v>
      </c>
      <c r="I9" s="6">
        <v>6.134259259259259E-4</v>
      </c>
      <c r="J9" s="6">
        <v>7.0601851851851847E-4</v>
      </c>
      <c r="K9" s="7">
        <v>0.90239999999999998</v>
      </c>
      <c r="L9" s="7">
        <v>9.7600000000000006E-2</v>
      </c>
      <c r="M9" s="8">
        <v>0.08</v>
      </c>
    </row>
    <row r="10" spans="1:13" ht="16.5" customHeight="1" x14ac:dyDescent="0.3">
      <c r="A10" s="5">
        <f>SUBTOTAL(3,$B$2:B10)-1</f>
        <v>8</v>
      </c>
      <c r="B10" s="4" t="s">
        <v>14</v>
      </c>
      <c r="C10" s="5">
        <v>22</v>
      </c>
      <c r="D10" s="5">
        <v>22</v>
      </c>
      <c r="E10" s="5">
        <v>0</v>
      </c>
      <c r="F10" s="6">
        <v>6.3657407407407402E-4</v>
      </c>
      <c r="G10" s="6">
        <v>8.1018518518518516E-5</v>
      </c>
      <c r="H10" s="6">
        <v>8.1018518518518516E-5</v>
      </c>
      <c r="I10" s="6">
        <v>4.3981481481481481E-4</v>
      </c>
      <c r="J10" s="6">
        <v>5.5555555555555556E-4</v>
      </c>
      <c r="K10" s="7">
        <v>0.95450000000000002</v>
      </c>
      <c r="L10" s="7">
        <v>4.5499999999999999E-2</v>
      </c>
      <c r="M10" s="8">
        <v>7.0000000000000007E-2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15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45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357</v>
      </c>
      <c r="D13" s="13">
        <f>SUM(D3:D10)</f>
        <v>345</v>
      </c>
      <c r="E13" s="13">
        <f>SUM(E3:E10)</f>
        <v>12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9463-CBD5-4201-B424-46CDC5F48BB3}">
  <dimension ref="A1:M13"/>
  <sheetViews>
    <sheetView workbookViewId="0">
      <selection activeCell="E10" sqref="E10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135</v>
      </c>
      <c r="D3" s="5">
        <v>132</v>
      </c>
      <c r="E3" s="5">
        <v>3</v>
      </c>
      <c r="F3" s="6">
        <v>1.0995370370370371E-3</v>
      </c>
      <c r="G3" s="6">
        <v>3.3564814814814812E-4</v>
      </c>
      <c r="H3" s="6">
        <v>5.0925925925925921E-4</v>
      </c>
      <c r="I3" s="6">
        <v>2.3611111111111111E-3</v>
      </c>
      <c r="J3" s="6">
        <v>7.5231481481481471E-4</v>
      </c>
      <c r="K3" s="7">
        <v>0.55559999999999998</v>
      </c>
      <c r="L3" s="7">
        <v>0.44440000000000002</v>
      </c>
      <c r="M3" s="8">
        <v>0.15</v>
      </c>
    </row>
    <row r="4" spans="1:13" ht="16.5" customHeight="1" x14ac:dyDescent="0.3">
      <c r="A4" s="5">
        <f>SUBTOTAL(3,$B$2:B4)-1</f>
        <v>2</v>
      </c>
      <c r="B4" s="4" t="s">
        <v>19</v>
      </c>
      <c r="C4" s="5">
        <v>51</v>
      </c>
      <c r="D4" s="5">
        <v>47</v>
      </c>
      <c r="E4" s="5">
        <v>4</v>
      </c>
      <c r="F4" s="6">
        <v>1.1342592592592591E-3</v>
      </c>
      <c r="G4" s="6">
        <v>3.8194444444444446E-4</v>
      </c>
      <c r="H4" s="6">
        <v>5.5555555555555556E-4</v>
      </c>
      <c r="I4" s="6">
        <v>2.0138888888888888E-3</v>
      </c>
      <c r="J4" s="6">
        <v>7.407407407407407E-4</v>
      </c>
      <c r="K4" s="7">
        <v>0.60780000000000001</v>
      </c>
      <c r="L4" s="7">
        <v>0.39219999999999999</v>
      </c>
      <c r="M4" s="8">
        <v>0.18</v>
      </c>
    </row>
    <row r="5" spans="1:13" ht="16.5" customHeight="1" x14ac:dyDescent="0.3">
      <c r="A5" s="5">
        <f>SUBTOTAL(3,$B$2:B5)-1</f>
        <v>3</v>
      </c>
      <c r="B5" s="4" t="s">
        <v>13</v>
      </c>
      <c r="C5" s="5">
        <v>80</v>
      </c>
      <c r="D5" s="5">
        <v>77</v>
      </c>
      <c r="E5" s="5">
        <v>3</v>
      </c>
      <c r="F5" s="6">
        <v>1.0763888888888889E-3</v>
      </c>
      <c r="G5" s="6">
        <v>2.6620370370370372E-4</v>
      </c>
      <c r="H5" s="6">
        <v>5.2083333333333333E-4</v>
      </c>
      <c r="I5" s="6">
        <v>5.0231481481481481E-3</v>
      </c>
      <c r="J5" s="6">
        <v>8.1018518518518516E-4</v>
      </c>
      <c r="K5" s="7">
        <v>0.67500000000000004</v>
      </c>
      <c r="L5" s="7">
        <v>0.32500000000000001</v>
      </c>
      <c r="M5" s="8">
        <v>0.12</v>
      </c>
    </row>
    <row r="6" spans="1:13" ht="16.5" customHeight="1" x14ac:dyDescent="0.3">
      <c r="A6" s="5">
        <f>SUBTOTAL(3,$B$2:B6)-1</f>
        <v>4</v>
      </c>
      <c r="B6" s="4" t="s">
        <v>20</v>
      </c>
      <c r="C6" s="5">
        <v>120</v>
      </c>
      <c r="D6" s="5">
        <v>118</v>
      </c>
      <c r="E6" s="5">
        <v>2</v>
      </c>
      <c r="F6" s="6">
        <v>6.4814814814814813E-4</v>
      </c>
      <c r="G6" s="6">
        <v>1.6203703703703703E-4</v>
      </c>
      <c r="H6" s="6">
        <v>2.8935185185185189E-4</v>
      </c>
      <c r="I6" s="6">
        <v>1.4583333333333334E-3</v>
      </c>
      <c r="J6" s="6">
        <v>4.7453703703703704E-4</v>
      </c>
      <c r="K6" s="7">
        <v>0.72499999999999998</v>
      </c>
      <c r="L6" s="7">
        <v>0.27500000000000002</v>
      </c>
      <c r="M6" s="8">
        <v>0.21</v>
      </c>
    </row>
    <row r="7" spans="1:13" ht="16.5" customHeight="1" x14ac:dyDescent="0.3">
      <c r="A7" s="5">
        <f>SUBTOTAL(3,$B$2:B7)-1</f>
        <v>5</v>
      </c>
      <c r="B7" s="4" t="s">
        <v>16</v>
      </c>
      <c r="C7" s="5">
        <v>72</v>
      </c>
      <c r="D7" s="5">
        <v>71</v>
      </c>
      <c r="E7" s="5">
        <v>1</v>
      </c>
      <c r="F7" s="6">
        <v>6.5972222222222213E-4</v>
      </c>
      <c r="G7" s="6">
        <v>8.1018518518518516E-5</v>
      </c>
      <c r="H7" s="6">
        <v>1.6203703703703703E-4</v>
      </c>
      <c r="I7" s="6">
        <v>2.627314814814815E-3</v>
      </c>
      <c r="J7" s="6">
        <v>5.6712962962962956E-4</v>
      </c>
      <c r="K7" s="7">
        <v>0.80559999999999998</v>
      </c>
      <c r="L7" s="7">
        <v>0.19439999999999999</v>
      </c>
      <c r="M7" s="8">
        <v>0.06</v>
      </c>
    </row>
    <row r="8" spans="1:13" ht="16.5" customHeight="1" x14ac:dyDescent="0.3">
      <c r="A8" s="5">
        <f>SUBTOTAL(3,$B$2:B8)-1</f>
        <v>6</v>
      </c>
      <c r="B8" s="4" t="s">
        <v>18</v>
      </c>
      <c r="C8" s="5">
        <v>70</v>
      </c>
      <c r="D8" s="5">
        <v>69</v>
      </c>
      <c r="E8" s="5">
        <v>1</v>
      </c>
      <c r="F8" s="6">
        <v>7.9861111111111105E-4</v>
      </c>
      <c r="G8" s="6">
        <v>1.3888888888888889E-4</v>
      </c>
      <c r="H8" s="6">
        <v>2.4305555555555552E-4</v>
      </c>
      <c r="I8" s="6">
        <v>2.1412037037037038E-3</v>
      </c>
      <c r="J8" s="6">
        <v>6.4814814814814813E-4</v>
      </c>
      <c r="K8" s="7">
        <v>0.81430000000000002</v>
      </c>
      <c r="L8" s="7">
        <v>0.1857</v>
      </c>
      <c r="M8" s="8">
        <v>0.16</v>
      </c>
    </row>
    <row r="9" spans="1:13" ht="16.5" customHeight="1" x14ac:dyDescent="0.3">
      <c r="A9" s="5">
        <f>SUBTOTAL(3,$B$2:B9)-1</f>
        <v>7</v>
      </c>
      <c r="B9" s="4" t="s">
        <v>14</v>
      </c>
      <c r="C9" s="5">
        <v>36</v>
      </c>
      <c r="D9" s="5">
        <v>35</v>
      </c>
      <c r="E9" s="5">
        <v>1</v>
      </c>
      <c r="F9" s="6">
        <v>7.407407407407407E-4</v>
      </c>
      <c r="G9" s="6">
        <v>1.1574074074074073E-4</v>
      </c>
      <c r="H9" s="6">
        <v>2.199074074074074E-4</v>
      </c>
      <c r="I9" s="6">
        <v>1.5277777777777779E-3</v>
      </c>
      <c r="J9" s="6">
        <v>6.2500000000000001E-4</v>
      </c>
      <c r="K9" s="7">
        <v>0.83330000000000004</v>
      </c>
      <c r="L9" s="7">
        <v>0.16669999999999999</v>
      </c>
      <c r="M9" s="8">
        <v>0.05</v>
      </c>
    </row>
    <row r="10" spans="1:13" ht="16.5" customHeight="1" x14ac:dyDescent="0.3">
      <c r="A10" s="5">
        <f>SUBTOTAL(3,$B$2:B10)-1</f>
        <v>8</v>
      </c>
      <c r="B10" s="4" t="s">
        <v>15</v>
      </c>
      <c r="C10" s="5">
        <v>14</v>
      </c>
      <c r="D10" s="5">
        <v>14</v>
      </c>
      <c r="E10" s="5">
        <v>0</v>
      </c>
      <c r="F10" s="6">
        <v>7.8703703703703705E-4</v>
      </c>
      <c r="G10" s="6">
        <v>1.0416666666666667E-4</v>
      </c>
      <c r="H10" s="6">
        <v>9.2592592592592588E-5</v>
      </c>
      <c r="I10" s="6">
        <v>4.1666666666666669E-4</v>
      </c>
      <c r="J10" s="6">
        <v>6.8287037037037025E-4</v>
      </c>
      <c r="K10" s="7">
        <v>0.92859999999999998</v>
      </c>
      <c r="L10" s="7">
        <v>7.1400000000000005E-2</v>
      </c>
      <c r="M10" s="8">
        <v>7.0000000000000007E-2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48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22</v>
      </c>
      <c r="C12" s="16">
        <v>53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578</v>
      </c>
      <c r="D13" s="13">
        <f>SUM(D3:D10)</f>
        <v>563</v>
      </c>
      <c r="E13" s="13">
        <f>SUM(E3:E10)</f>
        <v>15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B537-53A3-468F-A2CE-A3798CC59842}">
  <dimension ref="A1:M13"/>
  <sheetViews>
    <sheetView workbookViewId="0">
      <selection activeCell="M17" sqref="M17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13</v>
      </c>
      <c r="C3" s="5">
        <v>85</v>
      </c>
      <c r="D3" s="5">
        <v>83</v>
      </c>
      <c r="E3" s="5">
        <v>2</v>
      </c>
      <c r="F3" s="6">
        <v>1.0648148148148147E-3</v>
      </c>
      <c r="G3" s="6">
        <v>3.9351851851851852E-4</v>
      </c>
      <c r="H3" s="6">
        <v>6.018518518518519E-4</v>
      </c>
      <c r="I3" s="6">
        <v>2.6967592592592594E-3</v>
      </c>
      <c r="J3" s="6">
        <v>6.7129629629629625E-4</v>
      </c>
      <c r="K3" s="7">
        <v>0.64710000000000001</v>
      </c>
      <c r="L3" s="7">
        <v>0.35289999999999999</v>
      </c>
      <c r="M3" s="8">
        <v>0.14000000000000001</v>
      </c>
    </row>
    <row r="4" spans="1:13" ht="16.5" customHeight="1" x14ac:dyDescent="0.3">
      <c r="A4" s="5">
        <f>SUBTOTAL(3,$B$2:B4)-1</f>
        <v>2</v>
      </c>
      <c r="B4" s="4" t="s">
        <v>17</v>
      </c>
      <c r="C4" s="5">
        <v>108</v>
      </c>
      <c r="D4" s="5">
        <v>107</v>
      </c>
      <c r="E4" s="5">
        <v>1</v>
      </c>
      <c r="F4" s="6">
        <v>9.4907407407407408E-4</v>
      </c>
      <c r="G4" s="6">
        <v>2.7777777777777778E-4</v>
      </c>
      <c r="H4" s="6">
        <v>4.6296296296296293E-4</v>
      </c>
      <c r="I4" s="6">
        <v>3.0439814814814821E-3</v>
      </c>
      <c r="J4" s="6">
        <v>6.5972222222222213E-4</v>
      </c>
      <c r="K4" s="7">
        <v>0.69440000000000002</v>
      </c>
      <c r="L4" s="7">
        <v>0.30559999999999998</v>
      </c>
      <c r="M4" s="8">
        <v>0.13</v>
      </c>
    </row>
    <row r="5" spans="1:13" ht="16.5" customHeight="1" x14ac:dyDescent="0.3">
      <c r="A5" s="5">
        <f>SUBTOTAL(3,$B$2:B5)-1</f>
        <v>3</v>
      </c>
      <c r="B5" s="4" t="s">
        <v>19</v>
      </c>
      <c r="C5" s="5">
        <v>38</v>
      </c>
      <c r="D5" s="5">
        <v>38</v>
      </c>
      <c r="E5" s="5">
        <v>0</v>
      </c>
      <c r="F5" s="6">
        <v>8.2175925925925917E-4</v>
      </c>
      <c r="G5" s="6">
        <v>1.9675925925925926E-4</v>
      </c>
      <c r="H5" s="6">
        <v>3.7037037037037035E-4</v>
      </c>
      <c r="I5" s="6">
        <v>2.0486111111111113E-3</v>
      </c>
      <c r="J5" s="6">
        <v>6.2500000000000001E-4</v>
      </c>
      <c r="K5" s="7">
        <v>0.73680000000000001</v>
      </c>
      <c r="L5" s="7">
        <v>0.26319999999999999</v>
      </c>
      <c r="M5" s="8">
        <v>0.15</v>
      </c>
    </row>
    <row r="6" spans="1:13" ht="16.5" customHeight="1" x14ac:dyDescent="0.3">
      <c r="A6" s="5">
        <f>SUBTOTAL(3,$B$2:B6)-1</f>
        <v>4</v>
      </c>
      <c r="B6" s="4" t="s">
        <v>20</v>
      </c>
      <c r="C6" s="5">
        <v>77</v>
      </c>
      <c r="D6" s="5">
        <v>77</v>
      </c>
      <c r="E6" s="5">
        <v>0</v>
      </c>
      <c r="F6" s="6">
        <v>7.5231481481481471E-4</v>
      </c>
      <c r="G6" s="6">
        <v>9.2592592592592588E-5</v>
      </c>
      <c r="H6" s="6">
        <v>1.5046296296296297E-4</v>
      </c>
      <c r="I6" s="6">
        <v>1.1921296296296296E-3</v>
      </c>
      <c r="J6" s="6">
        <v>6.5972222222222213E-4</v>
      </c>
      <c r="K6" s="7">
        <v>0.87009999999999998</v>
      </c>
      <c r="L6" s="7">
        <v>0.12989999999999999</v>
      </c>
      <c r="M6" s="8">
        <v>0.19</v>
      </c>
    </row>
    <row r="7" spans="1:13" ht="16.5" customHeight="1" x14ac:dyDescent="0.3">
      <c r="A7" s="5">
        <f>SUBTOTAL(3,$B$2:B7)-1</f>
        <v>5</v>
      </c>
      <c r="B7" s="4" t="s">
        <v>18</v>
      </c>
      <c r="C7" s="5">
        <v>75</v>
      </c>
      <c r="D7" s="5">
        <v>75</v>
      </c>
      <c r="E7" s="5">
        <v>0</v>
      </c>
      <c r="F7" s="6">
        <v>9.7222222222222209E-4</v>
      </c>
      <c r="G7" s="6">
        <v>1.8518518518518518E-4</v>
      </c>
      <c r="H7" s="6">
        <v>2.5462962962962961E-4</v>
      </c>
      <c r="I7" s="6">
        <v>1.4699074074074074E-3</v>
      </c>
      <c r="J7" s="6">
        <v>7.7546296296296304E-4</v>
      </c>
      <c r="K7" s="7">
        <v>0.88</v>
      </c>
      <c r="L7" s="7">
        <v>0.12</v>
      </c>
      <c r="M7" s="8">
        <v>0.21</v>
      </c>
    </row>
    <row r="8" spans="1:13" ht="16.5" customHeight="1" x14ac:dyDescent="0.3">
      <c r="A8" s="5">
        <f>SUBTOTAL(3,$B$2:B8)-1</f>
        <v>6</v>
      </c>
      <c r="B8" s="4" t="s">
        <v>14</v>
      </c>
      <c r="C8" s="5">
        <v>26</v>
      </c>
      <c r="D8" s="5">
        <v>26</v>
      </c>
      <c r="E8" s="5">
        <v>0</v>
      </c>
      <c r="F8" s="6">
        <v>9.6064814814814808E-4</v>
      </c>
      <c r="G8" s="6">
        <v>8.1018518518518516E-5</v>
      </c>
      <c r="H8" s="6">
        <v>1.7361111111111112E-4</v>
      </c>
      <c r="I8" s="6">
        <v>1.9328703703703704E-3</v>
      </c>
      <c r="J8" s="6">
        <v>8.7962962962962962E-4</v>
      </c>
      <c r="K8" s="7">
        <v>0.88460000000000005</v>
      </c>
      <c r="L8" s="7">
        <v>0.1154</v>
      </c>
      <c r="M8" s="8">
        <v>0.06</v>
      </c>
    </row>
    <row r="9" spans="1:13" ht="16.5" customHeight="1" x14ac:dyDescent="0.3">
      <c r="A9" s="5">
        <f>SUBTOTAL(3,$B$2:B9)-1</f>
        <v>7</v>
      </c>
      <c r="B9" s="4" t="s">
        <v>15</v>
      </c>
      <c r="C9" s="5">
        <v>9</v>
      </c>
      <c r="D9" s="5">
        <v>9</v>
      </c>
      <c r="E9" s="5">
        <v>0</v>
      </c>
      <c r="F9" s="6">
        <v>5.5555555555555556E-4</v>
      </c>
      <c r="G9" s="6">
        <v>6.9444444444444444E-5</v>
      </c>
      <c r="H9" s="6">
        <v>1.1574074074074073E-4</v>
      </c>
      <c r="I9" s="6">
        <v>4.2824074074074075E-4</v>
      </c>
      <c r="J9" s="6">
        <v>4.7453703703703704E-4</v>
      </c>
      <c r="K9" s="7">
        <v>0.88890000000000002</v>
      </c>
      <c r="L9" s="7">
        <v>0.1111</v>
      </c>
      <c r="M9" s="8">
        <v>0.05</v>
      </c>
    </row>
    <row r="10" spans="1:13" ht="16.5" customHeight="1" x14ac:dyDescent="0.3">
      <c r="A10" s="5">
        <f>SUBTOTAL(3,$B$2:B10)-1</f>
        <v>8</v>
      </c>
      <c r="B10" s="4" t="s">
        <v>16</v>
      </c>
      <c r="C10" s="5">
        <v>39</v>
      </c>
      <c r="D10" s="5">
        <v>37</v>
      </c>
      <c r="E10" s="5">
        <v>2</v>
      </c>
      <c r="F10" s="6">
        <v>6.9444444444444447E-4</v>
      </c>
      <c r="G10" s="6">
        <v>4.6296296296296294E-5</v>
      </c>
      <c r="H10" s="6">
        <v>8.1018518518518516E-5</v>
      </c>
      <c r="I10" s="6">
        <v>1.1458333333333333E-3</v>
      </c>
      <c r="J10" s="6">
        <v>6.4814814814814813E-4</v>
      </c>
      <c r="K10" s="7">
        <v>0.94869999999999999</v>
      </c>
      <c r="L10" s="7">
        <v>5.1299999999999998E-2</v>
      </c>
      <c r="M10" s="8">
        <v>7.0000000000000007E-2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59</v>
      </c>
      <c r="D11" s="17"/>
      <c r="E11" s="18"/>
      <c r="F11" s="10"/>
      <c r="G11" s="10"/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31</v>
      </c>
      <c r="C12" s="16">
        <v>46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457</v>
      </c>
      <c r="D13" s="13">
        <f>SUM(D3:D10)</f>
        <v>452</v>
      </c>
      <c r="E13" s="13">
        <f>SUM(E3:E10)</f>
        <v>5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B271-B0A4-4EFF-BE6A-9BE025DB45BE}">
  <dimension ref="A1:M13"/>
  <sheetViews>
    <sheetView tabSelected="1" workbookViewId="0">
      <selection activeCell="N2" sqref="N2"/>
    </sheetView>
  </sheetViews>
  <sheetFormatPr defaultColWidth="9.109375" defaultRowHeight="14.4" x14ac:dyDescent="0.3"/>
  <cols>
    <col min="1" max="1" width="6.5546875" style="1" bestFit="1" customWidth="1"/>
    <col min="2" max="2" width="30.88671875" style="1" bestFit="1" customWidth="1"/>
    <col min="3" max="3" width="10.88671875" style="1" customWidth="1"/>
    <col min="4" max="4" width="11.88671875" style="1" customWidth="1"/>
    <col min="5" max="5" width="13.109375" style="1" customWidth="1"/>
    <col min="6" max="6" width="10.88671875" style="1" customWidth="1"/>
    <col min="7" max="7" width="11.88671875" style="1" customWidth="1"/>
    <col min="8" max="10" width="10.88671875" style="1" customWidth="1"/>
    <col min="11" max="11" width="11.44140625" style="1" customWidth="1"/>
    <col min="12" max="13" width="10.88671875" style="1" customWidth="1"/>
    <col min="14" max="16384" width="9.109375" style="1"/>
  </cols>
  <sheetData>
    <row r="1" spans="1:13" ht="20.399999999999999" customHeight="1" x14ac:dyDescent="0.3">
      <c r="A1" s="14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6.5" customHeight="1" x14ac:dyDescent="0.3">
      <c r="A3" s="5">
        <f>SUBTOTAL(3,$B$2:B3)-1</f>
        <v>1</v>
      </c>
      <c r="B3" s="4" t="s">
        <v>17</v>
      </c>
      <c r="C3" s="5">
        <v>140</v>
      </c>
      <c r="D3" s="5">
        <f>C3-E3</f>
        <v>123</v>
      </c>
      <c r="E3" s="5">
        <v>17</v>
      </c>
      <c r="F3" s="6">
        <v>9.9537037037037042E-4</v>
      </c>
      <c r="G3" s="6">
        <v>3.4722222222222224E-4</v>
      </c>
      <c r="H3" s="6">
        <v>6.3657407407407402E-4</v>
      </c>
      <c r="I3" s="6">
        <v>2.6620370370370374E-3</v>
      </c>
      <c r="J3" s="6">
        <v>6.4814814814814813E-4</v>
      </c>
      <c r="K3" s="7">
        <v>0.3286</v>
      </c>
      <c r="L3" s="7">
        <v>0.6714</v>
      </c>
      <c r="M3" s="8">
        <v>0.13</v>
      </c>
    </row>
    <row r="4" spans="1:13" ht="16.5" customHeight="1" x14ac:dyDescent="0.3">
      <c r="A4" s="5">
        <f>SUBTOTAL(3,$B$2:B4)-1</f>
        <v>2</v>
      </c>
      <c r="B4" s="4" t="s">
        <v>13</v>
      </c>
      <c r="C4" s="5">
        <v>50</v>
      </c>
      <c r="D4" s="5">
        <f t="shared" ref="D4:D10" si="0">C4-E4</f>
        <v>43</v>
      </c>
      <c r="E4" s="5">
        <v>7</v>
      </c>
      <c r="F4" s="6">
        <v>9.8379629629629642E-4</v>
      </c>
      <c r="G4" s="6">
        <v>2.8935185185185189E-4</v>
      </c>
      <c r="H4" s="6">
        <v>4.5138888888888892E-4</v>
      </c>
      <c r="I4" s="6">
        <v>1.712962962962963E-3</v>
      </c>
      <c r="J4" s="6">
        <v>6.9444444444444447E-4</v>
      </c>
      <c r="K4" s="7">
        <v>0.6</v>
      </c>
      <c r="L4" s="7">
        <v>0.4</v>
      </c>
      <c r="M4" s="8">
        <v>0.1</v>
      </c>
    </row>
    <row r="5" spans="1:13" ht="16.5" customHeight="1" x14ac:dyDescent="0.3">
      <c r="A5" s="5">
        <f>SUBTOTAL(3,$B$2:B5)-1</f>
        <v>3</v>
      </c>
      <c r="B5" s="4" t="s">
        <v>18</v>
      </c>
      <c r="C5" s="5">
        <v>68</v>
      </c>
      <c r="D5" s="5">
        <f t="shared" si="0"/>
        <v>65</v>
      </c>
      <c r="E5" s="5">
        <v>3</v>
      </c>
      <c r="F5" s="6">
        <v>8.7962962962962962E-4</v>
      </c>
      <c r="G5" s="6">
        <v>1.6203703703703703E-4</v>
      </c>
      <c r="H5" s="6">
        <v>2.7777777777777778E-4</v>
      </c>
      <c r="I5" s="6">
        <v>2.4537037037037036E-3</v>
      </c>
      <c r="J5" s="6">
        <v>7.0601851851851847E-4</v>
      </c>
      <c r="K5" s="7">
        <v>0.76470000000000005</v>
      </c>
      <c r="L5" s="7">
        <v>0.23530000000000001</v>
      </c>
      <c r="M5" s="8">
        <v>0.16</v>
      </c>
    </row>
    <row r="6" spans="1:13" ht="16.5" customHeight="1" x14ac:dyDescent="0.3">
      <c r="A6" s="5">
        <f>SUBTOTAL(3,$B$2:B6)-1</f>
        <v>4</v>
      </c>
      <c r="B6" s="4" t="s">
        <v>19</v>
      </c>
      <c r="C6" s="5">
        <v>31</v>
      </c>
      <c r="D6" s="5">
        <f t="shared" si="0"/>
        <v>31</v>
      </c>
      <c r="E6" s="5">
        <v>0</v>
      </c>
      <c r="F6" s="6">
        <v>8.1018518518518516E-4</v>
      </c>
      <c r="G6" s="6">
        <v>1.9675925925925926E-4</v>
      </c>
      <c r="H6" s="6">
        <v>2.8935185185185189E-4</v>
      </c>
      <c r="I6" s="6">
        <v>1.1805555555555556E-3</v>
      </c>
      <c r="J6" s="6">
        <v>6.018518518518519E-4</v>
      </c>
      <c r="K6" s="7">
        <v>0.7742</v>
      </c>
      <c r="L6" s="7">
        <v>0.2258</v>
      </c>
      <c r="M6" s="8">
        <v>0.19</v>
      </c>
    </row>
    <row r="7" spans="1:13" ht="16.5" customHeight="1" x14ac:dyDescent="0.3">
      <c r="A7" s="5">
        <f>SUBTOTAL(3,$B$2:B7)-1</f>
        <v>5</v>
      </c>
      <c r="B7" s="4" t="s">
        <v>16</v>
      </c>
      <c r="C7" s="5">
        <v>61</v>
      </c>
      <c r="D7" s="5">
        <f t="shared" si="0"/>
        <v>61</v>
      </c>
      <c r="E7" s="5">
        <v>0</v>
      </c>
      <c r="F7" s="6">
        <v>7.175925925925927E-4</v>
      </c>
      <c r="G7" s="6">
        <v>1.1574074074074073E-4</v>
      </c>
      <c r="H7" s="6">
        <v>1.6203703703703703E-4</v>
      </c>
      <c r="I7" s="6">
        <v>7.8703703703703705E-4</v>
      </c>
      <c r="J7" s="6">
        <v>6.018518518518519E-4</v>
      </c>
      <c r="K7" s="7">
        <v>0.85250000000000004</v>
      </c>
      <c r="L7" s="7">
        <v>0.14749999999999999</v>
      </c>
      <c r="M7" s="8">
        <v>0.06</v>
      </c>
    </row>
    <row r="8" spans="1:13" ht="16.5" customHeight="1" x14ac:dyDescent="0.3">
      <c r="A8" s="5">
        <f>SUBTOTAL(3,$B$2:B8)-1</f>
        <v>6</v>
      </c>
      <c r="B8" s="4" t="s">
        <v>15</v>
      </c>
      <c r="C8" s="5">
        <v>14</v>
      </c>
      <c r="D8" s="5">
        <f t="shared" si="0"/>
        <v>14</v>
      </c>
      <c r="E8" s="5">
        <v>0</v>
      </c>
      <c r="F8" s="6">
        <v>9.3750000000000007E-4</v>
      </c>
      <c r="G8" s="6">
        <v>8.1018518518518516E-5</v>
      </c>
      <c r="H8" s="6">
        <v>1.7361111111111112E-4</v>
      </c>
      <c r="I8" s="6">
        <v>8.1018518518518516E-4</v>
      </c>
      <c r="J8" s="6">
        <v>8.449074074074075E-4</v>
      </c>
      <c r="K8" s="7">
        <v>0.85709999999999997</v>
      </c>
      <c r="L8" s="7">
        <v>0.1429</v>
      </c>
      <c r="M8" s="8">
        <v>0.05</v>
      </c>
    </row>
    <row r="9" spans="1:13" ht="16.5" customHeight="1" x14ac:dyDescent="0.3">
      <c r="A9" s="5">
        <f>SUBTOTAL(3,$B$2:B9)-1</f>
        <v>7</v>
      </c>
      <c r="B9" s="4" t="s">
        <v>20</v>
      </c>
      <c r="C9" s="5">
        <v>74</v>
      </c>
      <c r="D9" s="5">
        <f t="shared" si="0"/>
        <v>70</v>
      </c>
      <c r="E9" s="5">
        <v>4</v>
      </c>
      <c r="F9" s="6">
        <v>8.1018518518518516E-4</v>
      </c>
      <c r="G9" s="6">
        <v>1.1574074074074073E-4</v>
      </c>
      <c r="H9" s="6">
        <v>1.8518518518518518E-4</v>
      </c>
      <c r="I9" s="6">
        <v>1.3657407407407409E-3</v>
      </c>
      <c r="J9" s="6">
        <v>6.8287037037037025E-4</v>
      </c>
      <c r="K9" s="7">
        <v>0.8649</v>
      </c>
      <c r="L9" s="7">
        <v>0.1351</v>
      </c>
      <c r="M9" s="8">
        <v>0.25</v>
      </c>
    </row>
    <row r="10" spans="1:13" ht="16.5" customHeight="1" x14ac:dyDescent="0.3">
      <c r="A10" s="5">
        <f>SUBTOTAL(3,$B$2:B10)-1</f>
        <v>8</v>
      </c>
      <c r="B10" s="4" t="s">
        <v>14</v>
      </c>
      <c r="C10" s="5">
        <v>36</v>
      </c>
      <c r="D10" s="5">
        <f t="shared" si="0"/>
        <v>35</v>
      </c>
      <c r="E10" s="5">
        <v>1</v>
      </c>
      <c r="F10" s="6">
        <v>7.5231481481481471E-4</v>
      </c>
      <c r="G10" s="6">
        <v>1.273148148148148E-4</v>
      </c>
      <c r="H10" s="6">
        <v>1.8518518518518518E-4</v>
      </c>
      <c r="I10" s="6">
        <v>2.4537037037037036E-3</v>
      </c>
      <c r="J10" s="6">
        <v>6.134259259259259E-4</v>
      </c>
      <c r="K10" s="7">
        <v>0.88890000000000002</v>
      </c>
      <c r="L10" s="7">
        <v>0.1111</v>
      </c>
      <c r="M10" s="8">
        <v>0.06</v>
      </c>
    </row>
    <row r="11" spans="1:13" ht="16.5" customHeight="1" x14ac:dyDescent="0.3">
      <c r="A11" s="5">
        <f>SUBTOTAL(3,$B$2:B11)-1</f>
        <v>9</v>
      </c>
      <c r="B11" s="9" t="s">
        <v>39</v>
      </c>
      <c r="C11" s="16">
        <v>29</v>
      </c>
      <c r="D11" s="17"/>
      <c r="E11" s="18"/>
      <c r="F11" s="10"/>
      <c r="G11" s="6">
        <v>1.273148148148148E-4</v>
      </c>
      <c r="H11" s="10"/>
      <c r="I11" s="10"/>
      <c r="J11" s="10"/>
      <c r="K11" s="11"/>
      <c r="L11" s="11"/>
      <c r="M11" s="4"/>
    </row>
    <row r="12" spans="1:13" ht="16.5" customHeight="1" x14ac:dyDescent="0.3">
      <c r="A12" s="5">
        <f>SUBTOTAL(3,$B$2:B12)-1</f>
        <v>10</v>
      </c>
      <c r="B12" s="9" t="s">
        <v>31</v>
      </c>
      <c r="C12" s="16">
        <v>18</v>
      </c>
      <c r="D12" s="17"/>
      <c r="E12" s="18"/>
      <c r="F12" s="10"/>
      <c r="G12" s="10"/>
      <c r="H12" s="10"/>
      <c r="I12" s="10"/>
      <c r="J12" s="10"/>
      <c r="K12" s="11"/>
      <c r="L12" s="11"/>
      <c r="M12" s="4"/>
    </row>
    <row r="13" spans="1:13" ht="21" customHeight="1" x14ac:dyDescent="0.3">
      <c r="A13" s="12"/>
      <c r="B13" s="12" t="s">
        <v>21</v>
      </c>
      <c r="C13" s="13">
        <f>SUM(C3:C10)</f>
        <v>474</v>
      </c>
      <c r="D13" s="13">
        <f>SUM(D3:D10)</f>
        <v>442</v>
      </c>
      <c r="E13" s="13">
        <f>SUM(E3:E10)</f>
        <v>32</v>
      </c>
      <c r="F13" s="12"/>
      <c r="G13" s="12"/>
      <c r="H13" s="12"/>
      <c r="I13" s="12"/>
      <c r="J13" s="12"/>
      <c r="K13" s="12"/>
      <c r="L13" s="12"/>
      <c r="M13" s="12"/>
    </row>
  </sheetData>
  <sortState ref="B3:M10">
    <sortCondition descending="1" ref="L3:L10"/>
  </sortState>
  <mergeCells count="3">
    <mergeCell ref="A1:M1"/>
    <mergeCell ref="C11:E11"/>
    <mergeCell ref="C12:E1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01.11</vt:lpstr>
      <vt:lpstr>02.11</vt:lpstr>
      <vt:lpstr>03.11</vt:lpstr>
      <vt:lpstr>04.11</vt:lpstr>
      <vt:lpstr>05.11</vt:lpstr>
      <vt:lpstr>06.11</vt:lpstr>
      <vt:lpstr>07.11</vt:lpstr>
      <vt:lpstr>08.11</vt:lpstr>
      <vt:lpstr>09.11</vt:lpstr>
      <vt:lpstr>10.11</vt:lpstr>
      <vt:lpstr>11.11</vt:lpstr>
      <vt:lpstr>12.11</vt:lpstr>
      <vt:lpstr>13.11</vt:lpstr>
      <vt:lpstr>14.11</vt:lpstr>
      <vt:lpstr>15.11</vt:lpstr>
      <vt:lpstr>16.11</vt:lpstr>
      <vt:lpstr>17.11</vt:lpstr>
      <vt:lpstr>18.11</vt:lpstr>
      <vt:lpstr>19.11</vt:lpstr>
      <vt:lpstr>20.11</vt:lpstr>
      <vt:lpstr>21.11</vt:lpstr>
      <vt:lpstr>22.11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2025-09-02T06:34:00Z</dcterms:created>
  <dcterms:modified xsi:type="dcterms:W3CDTF">2025-11-23T09:40:09Z</dcterms:modified>
</cp:coreProperties>
</file>